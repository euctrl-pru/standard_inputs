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C:\Users\oburdash\dev\repos\standard_inputs\data\"/>
    </mc:Choice>
  </mc:AlternateContent>
  <xr:revisionPtr revIDLastSave="0" documentId="13_ncr:1_{602364C5-7BEA-4E62-BC61-C0C68614214F}" xr6:coauthVersionLast="47" xr6:coauthVersionMax="47" xr10:uidLastSave="{00000000-0000-0000-0000-000000000000}"/>
  <bookViews>
    <workbookView xWindow="-108" yWindow="-108" windowWidth="23256" windowHeight="12456" tabRatio="693" xr2:uid="{00000000-000D-0000-FFFF-FFFF00000000}"/>
  </bookViews>
  <sheets>
    <sheet name="basic assumptions" sheetId="9" r:id="rId1"/>
    <sheet name="Cancellation cost" sheetId="5" r:id="rId2"/>
    <sheet name="Cancellation_Diversion" sheetId="18" r:id="rId3"/>
    <sheet name="Cost of  Delay" sheetId="3" r:id="rId4"/>
    <sheet name="Passenger time value" sheetId="4" r:id="rId5"/>
    <sheet name="VSL" sheetId="22" r:id="rId6"/>
    <sheet name="Cost of noise" sheetId="11" r:id="rId7"/>
    <sheet name="cost of pollutant" sheetId="21" r:id="rId8"/>
    <sheet name="Average Pass Flight" sheetId="17" r:id="rId9"/>
    <sheet name="noise cost airports (not used)" sheetId="13" r:id="rId10"/>
    <sheet name="cost of fuel (not used)" sheetId="14" r:id="rId11"/>
    <sheet name="Injury (not used)" sheetId="7" r:id="rId12"/>
    <sheet name="Flight OPS costs (not used)" sheetId="10" r:id="rId13"/>
  </sheets>
  <definedNames>
    <definedName name="_2006_to_current_year">'basic assumptions'!$D$57</definedName>
    <definedName name="_bookmark53" localSheetId="9">'noise cost airports (not used)'!$A$3</definedName>
    <definedName name="_ftn1" localSheetId="12">'Flight OPS costs (not used)'!$I$18</definedName>
    <definedName name="_ftnref1" localSheetId="12">'Flight OPS costs (not used)'!$B$6</definedName>
    <definedName name="DE_factor06">'basic assumptions'!$U$57</definedName>
    <definedName name="DE_factor07">'basic assumptions'!$U$58</definedName>
    <definedName name="DE_factor08">'basic assumptions'!$U$59</definedName>
    <definedName name="DE_factor09">'basic assumptions'!$U$60</definedName>
    <definedName name="DE_factor10">'basic assumptions'!$U$61</definedName>
    <definedName name="DE_factor11">'basic assumptions'!$U$62</definedName>
    <definedName name="DE_factor12">'basic assumptions'!$U$63</definedName>
    <definedName name="DE_factor13">'basic assumptions'!$U$64</definedName>
    <definedName name="DE_factor14">'basic assumptions'!$U$65</definedName>
    <definedName name="DE_factor15">'basic assumptions'!$U$66</definedName>
    <definedName name="DE_factor16">'basic assumptions'!$U$67</definedName>
    <definedName name="dollar" localSheetId="0">'basic assumptions'!$H$7</definedName>
    <definedName name="dollar">#REF!</definedName>
    <definedName name="ExR_GBP_12">'basic assumptions'!$I$5</definedName>
    <definedName name="ExR_GBP_13">'basic assumptions'!$I$6</definedName>
    <definedName name="ExR_GBP_14">'basic assumptions'!$I$7</definedName>
    <definedName name="ExR_GBP_17">'basic assumptions'!$I$10</definedName>
    <definedName name="ExR_GBP_18">'basic assumptions'!$I$11</definedName>
    <definedName name="ExR_GBP_19">'basic assumptions'!$I$12</definedName>
    <definedName name="factor" localSheetId="0">'basic assumptions'!$D$57</definedName>
    <definedName name="factor">#REF!</definedName>
    <definedName name="factor00">'basic assumptions'!$D$51</definedName>
    <definedName name="factor01">'basic assumptions'!$D$52</definedName>
    <definedName name="factor02">'basic assumptions'!$D$53</definedName>
    <definedName name="factor03">'basic assumptions'!$D$54</definedName>
    <definedName name="factor04">'basic assumptions'!$D$55</definedName>
    <definedName name="factor05">'basic assumptions'!$D$56</definedName>
    <definedName name="factor06">'basic assumptions'!$D$57</definedName>
    <definedName name="factor07">'basic assumptions'!$D$58</definedName>
    <definedName name="factor08">'basic assumptions'!$D$59</definedName>
    <definedName name="factor09">'basic assumptions'!$D$60</definedName>
    <definedName name="factor10">'basic assumptions'!$D$61</definedName>
    <definedName name="factor11">'basic assumptions'!$D$62</definedName>
    <definedName name="factor12">'basic assumptions'!$D$63</definedName>
    <definedName name="factor13">'basic assumptions'!$D$64</definedName>
    <definedName name="factor14">'basic assumptions'!$D$65</definedName>
    <definedName name="factor15">'basic assumptions'!$D$66</definedName>
    <definedName name="factor16">'basic assumptions'!$D$67</definedName>
    <definedName name="factor17">'basic assumptions'!$D$68</definedName>
    <definedName name="factor18">'basic assumptions'!$D$69</definedName>
    <definedName name="factor19">'basic assumptions'!$D$70</definedName>
    <definedName name="factor2006">'basic assumptions'!$D$57</definedName>
    <definedName name="factor96">'basic assumptions'!$D$47</definedName>
    <definedName name="factor97">'basic assumptions'!$D$48</definedName>
    <definedName name="factor98">'basic assumptions'!$D$49</definedName>
    <definedName name="factor99">'basic assumptions'!$D$50</definedName>
    <definedName name="FR_factor06">'basic assumptions'!$Q$57</definedName>
    <definedName name="FR_factor10">'basic assumptions'!$Q$61</definedName>
    <definedName name="FR_factor11">'basic assumptions'!$Q$62</definedName>
    <definedName name="FR_factor12">'basic assumptions'!$Q$63</definedName>
    <definedName name="FR_factor15">'basic assumptions'!$Q$66</definedName>
    <definedName name="FR_factor16">'basic assumptions'!$Q$67</definedName>
    <definedName name="FR_factor17">'basic assumptions'!$Q$68</definedName>
    <definedName name="FR_factor18">'basic assumptions'!$Q$69</definedName>
    <definedName name="FR_factor19">'basic assumptions'!$Q$70</definedName>
    <definedName name="index" localSheetId="0">'basic assumptions'!$D$45</definedName>
    <definedName name="index">#REF!</definedName>
    <definedName name="index2006" localSheetId="0">'basic assumptions'!$D$17</definedName>
    <definedName name="index2006">#REF!</definedName>
    <definedName name="indexDE">'basic assumptions'!$U$45</definedName>
    <definedName name="indexFR">'basic assumptions'!$Q$45</definedName>
    <definedName name="indexIT">'basic assumptions'!$Y$45</definedName>
    <definedName name="indexNL">'basic assumptions'!$AK$45</definedName>
    <definedName name="indexSP">'basic assumptions'!$AC$45</definedName>
    <definedName name="indexUK">'basic assumptions'!$AG$45</definedName>
    <definedName name="indexUS">'basic assumptions'!$M$45</definedName>
    <definedName name="IT_factor06">'basic assumptions'!$Y$57</definedName>
    <definedName name="IT_factor07">'basic assumptions'!$Y$58</definedName>
    <definedName name="IT_factor08">'basic assumptions'!$Y$59</definedName>
    <definedName name="IT_factor09">'basic assumptions'!$Y$60</definedName>
    <definedName name="IT_factor10">'basic assumptions'!$Y$61</definedName>
    <definedName name="IT_factor11">'basic assumptions'!$Y$62</definedName>
    <definedName name="IT_factor12">'basic assumptions'!$Y$63</definedName>
    <definedName name="IT_factor13">'basic assumptions'!$Y$64</definedName>
    <definedName name="IT_factor14">'basic assumptions'!$Y$65</definedName>
    <definedName name="IT_factor15">'basic assumptions'!$Y$66</definedName>
    <definedName name="IT_factor16">'basic assumptions'!$Y$67</definedName>
    <definedName name="pound" localSheetId="0">'basic assumptions'!$I$7</definedName>
    <definedName name="pound">#REF!</definedName>
    <definedName name="SP_factor06">'basic assumptions'!$AC$57</definedName>
    <definedName name="SP_factor07">'basic assumptions'!$AC$58</definedName>
    <definedName name="SP_factor08">'basic assumptions'!$AC$59</definedName>
    <definedName name="SP_factor09">'basic assumptions'!$AC$60</definedName>
    <definedName name="SP_factor10">'basic assumptions'!$AC$61</definedName>
    <definedName name="SP_factor11">'basic assumptions'!$AC$62</definedName>
    <definedName name="SP_factor12">'basic assumptions'!$AC$63</definedName>
    <definedName name="SP_factor13">'basic assumptions'!$AC$64</definedName>
    <definedName name="SP_factor14">'basic assumptions'!$AC$65</definedName>
    <definedName name="SP_factor15">'basic assumptions'!$AC$66</definedName>
    <definedName name="SP_factor16">'basic assumptions'!$AC$67</definedName>
    <definedName name="UK_factor06">'basic assumptions'!$AG$57</definedName>
    <definedName name="UK_factor07">'basic assumptions'!$AG$58</definedName>
    <definedName name="UK_factor08">'basic assumptions'!$AG$59</definedName>
    <definedName name="UK_factor09">'basic assumptions'!$AG$60</definedName>
    <definedName name="UK_factor10">'basic assumptions'!$AG$61</definedName>
    <definedName name="UK_factor11">'basic assumptions'!$AG$62</definedName>
    <definedName name="UK_factor12">'basic assumptions'!$AG$63</definedName>
    <definedName name="UK_factor13">'basic assumptions'!$AG$64</definedName>
    <definedName name="UK_factor14">'basic assumptions'!$AG$65</definedName>
    <definedName name="UK_factor15">'basic assumptions'!$AG$66</definedName>
    <definedName name="UK_factor16">'basic assumptions'!$AG$67</definedName>
    <definedName name="US_factor00">'basic assumptions'!$M$51</definedName>
    <definedName name="US_factor01">'basic assumptions'!$M$52</definedName>
    <definedName name="US_factor02">'basic assumptions'!$M$53</definedName>
    <definedName name="US_factor03">'basic assumptions'!$M$54</definedName>
    <definedName name="US_factor04">'basic assumptions'!$M$55</definedName>
    <definedName name="US_factor05">'basic assumptions'!$M$56</definedName>
    <definedName name="US_factor06">'basic assumptions'!$M$57</definedName>
    <definedName name="US_factor07">'basic assumptions'!$M$58</definedName>
    <definedName name="US_factor08">'basic assumptions'!$M$59</definedName>
    <definedName name="US_factor09">'basic assumptions'!$M$60</definedName>
    <definedName name="US_factor10">'basic assumptions'!$M$61</definedName>
    <definedName name="US_factor11">'basic assumptions'!$M$62</definedName>
    <definedName name="US_factor12">'basic assumptions'!$M$63</definedName>
    <definedName name="US_factor13">'basic assumptions'!$M$64</definedName>
    <definedName name="US_factor14">'basic assumptions'!$M$65</definedName>
    <definedName name="US_factor15">'basic assumptions'!$M$66</definedName>
    <definedName name="US_factor16">'basic assumptions'!$M$67</definedName>
    <definedName name="US_factor96">'basic assumptions'!$M$47</definedName>
    <definedName name="US_factor97">'basic assumptions'!$M$48</definedName>
    <definedName name="US_factor98">'basic assumptions'!$M$49</definedName>
    <definedName name="US_factor99">'basic assumptions'!$M$50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21" l="1"/>
  <c r="E56" i="21"/>
  <c r="F56" i="21"/>
  <c r="E55" i="21"/>
  <c r="F55" i="21"/>
  <c r="D55" i="21"/>
  <c r="L49" i="21"/>
  <c r="L56" i="21" s="1"/>
  <c r="M49" i="21"/>
  <c r="M56" i="21" s="1"/>
  <c r="K49" i="21"/>
  <c r="P49" i="21" s="1"/>
  <c r="M48" i="21"/>
  <c r="R48" i="21" s="1"/>
  <c r="L48" i="21"/>
  <c r="L55" i="21" s="1"/>
  <c r="K48" i="21"/>
  <c r="K55" i="21" s="1"/>
  <c r="M55" i="21" l="1"/>
  <c r="Q48" i="21"/>
  <c r="K56" i="21"/>
  <c r="P48" i="21"/>
  <c r="Q49" i="21"/>
  <c r="R49" i="21"/>
  <c r="X31" i="3"/>
  <c r="X24" i="3"/>
  <c r="X23" i="3"/>
  <c r="X22" i="3"/>
  <c r="X21" i="3"/>
  <c r="X20" i="3"/>
  <c r="X19" i="3"/>
  <c r="X18" i="3"/>
  <c r="X17" i="3"/>
  <c r="X16" i="3"/>
  <c r="X15" i="3"/>
  <c r="X14" i="3"/>
  <c r="X13" i="3"/>
  <c r="X12" i="3"/>
  <c r="X11" i="3"/>
  <c r="X10" i="3"/>
  <c r="AK45" i="9" l="1"/>
  <c r="AG45" i="9"/>
  <c r="AG68" i="9" s="1"/>
  <c r="AC45" i="9"/>
  <c r="Y45" i="9"/>
  <c r="Y69" i="9" s="1"/>
  <c r="U45" i="9"/>
  <c r="U68" i="9" s="1"/>
  <c r="Q45" i="9"/>
  <c r="M45" i="9"/>
  <c r="M69" i="9" s="1"/>
  <c r="D45" i="9"/>
  <c r="AK68" i="9"/>
  <c r="AK69" i="9"/>
  <c r="AK70" i="9"/>
  <c r="AG70" i="9"/>
  <c r="AC68" i="9"/>
  <c r="AC69" i="9"/>
  <c r="AC70" i="9"/>
  <c r="Y68" i="9"/>
  <c r="Q68" i="9"/>
  <c r="Q69" i="9"/>
  <c r="Q70" i="9"/>
  <c r="AL30" i="9"/>
  <c r="AL29" i="9"/>
  <c r="AL28" i="9"/>
  <c r="AL27" i="9"/>
  <c r="AL26" i="9"/>
  <c r="AL25" i="9"/>
  <c r="AL24" i="9"/>
  <c r="AL23" i="9"/>
  <c r="AL22" i="9"/>
  <c r="AL21" i="9"/>
  <c r="AL20" i="9"/>
  <c r="AL19" i="9"/>
  <c r="AL18" i="9"/>
  <c r="AL17" i="9"/>
  <c r="AL16" i="9"/>
  <c r="AL15" i="9"/>
  <c r="AL14" i="9"/>
  <c r="AL13" i="9"/>
  <c r="AL12" i="9"/>
  <c r="AL11" i="9"/>
  <c r="AL10" i="9"/>
  <c r="AL9" i="9"/>
  <c r="AL8" i="9"/>
  <c r="AH30" i="9"/>
  <c r="AH29" i="9"/>
  <c r="AH28" i="9"/>
  <c r="AH27" i="9"/>
  <c r="AH26" i="9"/>
  <c r="AH25" i="9"/>
  <c r="AH24" i="9"/>
  <c r="AH23" i="9"/>
  <c r="AH22" i="9"/>
  <c r="AH21" i="9"/>
  <c r="AH20" i="9"/>
  <c r="AH19" i="9"/>
  <c r="AH18" i="9"/>
  <c r="AH17" i="9"/>
  <c r="AH16" i="9"/>
  <c r="AH15" i="9"/>
  <c r="AH14" i="9"/>
  <c r="AH13" i="9"/>
  <c r="AH12" i="9"/>
  <c r="AH11" i="9"/>
  <c r="AH10" i="9"/>
  <c r="AH9" i="9"/>
  <c r="AH8" i="9"/>
  <c r="AD30" i="9"/>
  <c r="AD29" i="9"/>
  <c r="AD28" i="9"/>
  <c r="AD27" i="9"/>
  <c r="AD26" i="9"/>
  <c r="AD25" i="9"/>
  <c r="AD24" i="9"/>
  <c r="AD23" i="9"/>
  <c r="AD22" i="9"/>
  <c r="AD21" i="9"/>
  <c r="AD20" i="9"/>
  <c r="AD19" i="9"/>
  <c r="AD18" i="9"/>
  <c r="AD17" i="9"/>
  <c r="AD16" i="9"/>
  <c r="AD15" i="9"/>
  <c r="AD14" i="9"/>
  <c r="AD13" i="9"/>
  <c r="AD12" i="9"/>
  <c r="AD11" i="9"/>
  <c r="AD10" i="9"/>
  <c r="AD9" i="9"/>
  <c r="AD8" i="9"/>
  <c r="Z30" i="9"/>
  <c r="Z29" i="9"/>
  <c r="Z28" i="9"/>
  <c r="Z27" i="9"/>
  <c r="Z26" i="9"/>
  <c r="Z25" i="9"/>
  <c r="Z24" i="9"/>
  <c r="Z23" i="9"/>
  <c r="Z22" i="9"/>
  <c r="Z21" i="9"/>
  <c r="Z20" i="9"/>
  <c r="Z19" i="9"/>
  <c r="Z18" i="9"/>
  <c r="Z17" i="9"/>
  <c r="Z16" i="9"/>
  <c r="Z15" i="9"/>
  <c r="Z14" i="9"/>
  <c r="Z13" i="9"/>
  <c r="Z12" i="9"/>
  <c r="Z11" i="9"/>
  <c r="Z10" i="9"/>
  <c r="Z9" i="9"/>
  <c r="Z8" i="9"/>
  <c r="V30" i="9"/>
  <c r="V29" i="9"/>
  <c r="V28" i="9"/>
  <c r="V27" i="9"/>
  <c r="V26" i="9"/>
  <c r="V25" i="9"/>
  <c r="V24" i="9"/>
  <c r="V23" i="9"/>
  <c r="V22" i="9"/>
  <c r="V21" i="9"/>
  <c r="V20" i="9"/>
  <c r="V19" i="9"/>
  <c r="V18" i="9"/>
  <c r="V17" i="9"/>
  <c r="V16" i="9"/>
  <c r="V15" i="9"/>
  <c r="V14" i="9"/>
  <c r="V13" i="9"/>
  <c r="V12" i="9"/>
  <c r="V11" i="9"/>
  <c r="V10" i="9"/>
  <c r="V9" i="9"/>
  <c r="V8" i="9"/>
  <c r="R9" i="9"/>
  <c r="R10" i="9"/>
  <c r="R11" i="9"/>
  <c r="R12" i="9"/>
  <c r="R13" i="9"/>
  <c r="R14" i="9"/>
  <c r="R15" i="9"/>
  <c r="R16" i="9"/>
  <c r="R17" i="9"/>
  <c r="R18" i="9"/>
  <c r="R19" i="9"/>
  <c r="R20" i="9"/>
  <c r="R21" i="9"/>
  <c r="R22" i="9"/>
  <c r="R23" i="9"/>
  <c r="R24" i="9"/>
  <c r="R25" i="9"/>
  <c r="R26" i="9"/>
  <c r="R27" i="9"/>
  <c r="R28" i="9"/>
  <c r="R29" i="9"/>
  <c r="R30" i="9"/>
  <c r="R8" i="9"/>
  <c r="U70" i="9" l="1"/>
  <c r="U69" i="9"/>
  <c r="Y70" i="9"/>
  <c r="M68" i="9"/>
  <c r="Q66" i="9"/>
  <c r="Q63" i="9"/>
  <c r="AG69" i="9"/>
  <c r="M70" i="9"/>
  <c r="C48" i="4" l="1"/>
  <c r="C49" i="4"/>
  <c r="C50" i="4"/>
  <c r="C47" i="4"/>
  <c r="AA26" i="10"/>
  <c r="AB9" i="10"/>
  <c r="AC9" i="10"/>
  <c r="AD9" i="10"/>
  <c r="AE9" i="10"/>
  <c r="AF9" i="10"/>
  <c r="AB10" i="10"/>
  <c r="AC10" i="10"/>
  <c r="AD10" i="10"/>
  <c r="AE10" i="10"/>
  <c r="AF10" i="10"/>
  <c r="AB11" i="10"/>
  <c r="AC11" i="10"/>
  <c r="AD11" i="10"/>
  <c r="AE11" i="10"/>
  <c r="AF11" i="10"/>
  <c r="AB12" i="10"/>
  <c r="AC12" i="10"/>
  <c r="AD12" i="10"/>
  <c r="AE12" i="10"/>
  <c r="AF12" i="10"/>
  <c r="AB13" i="10"/>
  <c r="AC13" i="10"/>
  <c r="AD13" i="10"/>
  <c r="AE13" i="10"/>
  <c r="AF13" i="10"/>
  <c r="AB14" i="10"/>
  <c r="AC14" i="10"/>
  <c r="AD14" i="10"/>
  <c r="AE14" i="10"/>
  <c r="AF14" i="10"/>
  <c r="AB15" i="10"/>
  <c r="AC15" i="10"/>
  <c r="AD15" i="10"/>
  <c r="AE15" i="10"/>
  <c r="AF15" i="10"/>
  <c r="AB16" i="10"/>
  <c r="AC16" i="10"/>
  <c r="AD16" i="10"/>
  <c r="AE16" i="10"/>
  <c r="AF16" i="10"/>
  <c r="AB17" i="10"/>
  <c r="AC17" i="10"/>
  <c r="AD17" i="10"/>
  <c r="AE17" i="10"/>
  <c r="AF17" i="10"/>
  <c r="AC8" i="10"/>
  <c r="AD8" i="10"/>
  <c r="AE8" i="10"/>
  <c r="AF8" i="10"/>
  <c r="AB8" i="10"/>
  <c r="D68" i="9" l="1"/>
  <c r="D69" i="9"/>
  <c r="D70" i="9"/>
  <c r="M66" i="9"/>
  <c r="M51" i="9"/>
  <c r="D79" i="4"/>
  <c r="AK48" i="9"/>
  <c r="AG50" i="9"/>
  <c r="AC51" i="9"/>
  <c r="Y49" i="9"/>
  <c r="U48" i="9"/>
  <c r="Q51" i="9"/>
  <c r="D67" i="9"/>
  <c r="H39" i="21" l="1"/>
  <c r="H33" i="21"/>
  <c r="I39" i="21"/>
  <c r="F33" i="21"/>
  <c r="J39" i="21"/>
  <c r="G34" i="21"/>
  <c r="G39" i="21"/>
  <c r="F34" i="21"/>
  <c r="H34" i="21"/>
  <c r="G33" i="21"/>
  <c r="I9" i="22"/>
  <c r="C83" i="4"/>
  <c r="D83" i="4" s="1"/>
  <c r="C82" i="4"/>
  <c r="D82" i="4" s="1"/>
  <c r="C81" i="4"/>
  <c r="D81" i="4" s="1"/>
  <c r="L19" i="11"/>
  <c r="M20" i="11"/>
  <c r="J19" i="11"/>
  <c r="M21" i="11"/>
  <c r="K19" i="11"/>
  <c r="M19" i="11"/>
  <c r="I19" i="11"/>
  <c r="N28" i="21"/>
  <c r="P26" i="21"/>
  <c r="O25" i="21"/>
  <c r="N24" i="21"/>
  <c r="P22" i="21"/>
  <c r="O21" i="21"/>
  <c r="N20" i="21"/>
  <c r="P27" i="21"/>
  <c r="O26" i="21"/>
  <c r="N25" i="21"/>
  <c r="P23" i="21"/>
  <c r="O22" i="21"/>
  <c r="N21" i="21"/>
  <c r="O19" i="21"/>
  <c r="P28" i="21"/>
  <c r="O27" i="21"/>
  <c r="N26" i="21"/>
  <c r="P24" i="21"/>
  <c r="O23" i="21"/>
  <c r="N22" i="21"/>
  <c r="P20" i="21"/>
  <c r="P19" i="21"/>
  <c r="O28" i="21"/>
  <c r="N27" i="21"/>
  <c r="P25" i="21"/>
  <c r="O24" i="21"/>
  <c r="N23" i="21"/>
  <c r="P21" i="21"/>
  <c r="O20" i="21"/>
  <c r="N19" i="21"/>
  <c r="N13" i="21"/>
  <c r="M12" i="21"/>
  <c r="L11" i="21"/>
  <c r="M13" i="21"/>
  <c r="L12" i="21"/>
  <c r="N10" i="21"/>
  <c r="L13" i="21"/>
  <c r="N11" i="21"/>
  <c r="M10" i="21"/>
  <c r="N12" i="21"/>
  <c r="M11" i="21"/>
  <c r="L10" i="21"/>
  <c r="I13" i="11"/>
  <c r="I9" i="11"/>
  <c r="J12" i="11"/>
  <c r="J10" i="11"/>
  <c r="J8" i="11"/>
  <c r="K13" i="11"/>
  <c r="K9" i="11"/>
  <c r="I12" i="11"/>
  <c r="K11" i="11"/>
  <c r="I8" i="11"/>
  <c r="I11" i="11"/>
  <c r="J13" i="11"/>
  <c r="J11" i="11"/>
  <c r="J9" i="11"/>
  <c r="I10" i="11"/>
  <c r="K12" i="11"/>
  <c r="K10" i="11"/>
  <c r="K8" i="11"/>
  <c r="AA45" i="3"/>
  <c r="Z44" i="3"/>
  <c r="Y43" i="3"/>
  <c r="AA41" i="3"/>
  <c r="Z40" i="3"/>
  <c r="Y39" i="3"/>
  <c r="AA37" i="3"/>
  <c r="Z36" i="3"/>
  <c r="Y35" i="3"/>
  <c r="AA33" i="3"/>
  <c r="Z32" i="3"/>
  <c r="Y31" i="3"/>
  <c r="AH24" i="3"/>
  <c r="AD24" i="3"/>
  <c r="Z24" i="3"/>
  <c r="AH23" i="3"/>
  <c r="AD23" i="3"/>
  <c r="Z23" i="3"/>
  <c r="AH22" i="3"/>
  <c r="AD22" i="3"/>
  <c r="Z22" i="3"/>
  <c r="AH21" i="3"/>
  <c r="AD21" i="3"/>
  <c r="Z21" i="3"/>
  <c r="AH20" i="3"/>
  <c r="AD20" i="3"/>
  <c r="Z20" i="3"/>
  <c r="AH19" i="3"/>
  <c r="AD19" i="3"/>
  <c r="Z19" i="3"/>
  <c r="AH18" i="3"/>
  <c r="AD18" i="3"/>
  <c r="Z18" i="3"/>
  <c r="AH17" i="3"/>
  <c r="AD17" i="3"/>
  <c r="Z17" i="3"/>
  <c r="AH16" i="3"/>
  <c r="AD16" i="3"/>
  <c r="Z16" i="3"/>
  <c r="AH15" i="3"/>
  <c r="AD15" i="3"/>
  <c r="Z15" i="3"/>
  <c r="AH14" i="3"/>
  <c r="AD14" i="3"/>
  <c r="Z14" i="3"/>
  <c r="AH13" i="3"/>
  <c r="AD13" i="3"/>
  <c r="Z13" i="3"/>
  <c r="AH12" i="3"/>
  <c r="AD12" i="3"/>
  <c r="Z12" i="3"/>
  <c r="AH11" i="3"/>
  <c r="AD11" i="3"/>
  <c r="Z11" i="3"/>
  <c r="AB10" i="3"/>
  <c r="AF10" i="3"/>
  <c r="AJ10" i="3"/>
  <c r="G13" i="3"/>
  <c r="F11" i="3"/>
  <c r="F10" i="3"/>
  <c r="AA44" i="3"/>
  <c r="Z39" i="3"/>
  <c r="Y34" i="3"/>
  <c r="AI24" i="3"/>
  <c r="AI23" i="3"/>
  <c r="AI22" i="3"/>
  <c r="AI21" i="3"/>
  <c r="AI20" i="3"/>
  <c r="AE19" i="3"/>
  <c r="AE18" i="3"/>
  <c r="AI17" i="3"/>
  <c r="AI16" i="3"/>
  <c r="AI15" i="3"/>
  <c r="AI14" i="3"/>
  <c r="AI13" i="3"/>
  <c r="AI12" i="3"/>
  <c r="AE11" i="3"/>
  <c r="AA10" i="3"/>
  <c r="G11" i="3"/>
  <c r="Z45" i="3"/>
  <c r="Y44" i="3"/>
  <c r="AA42" i="3"/>
  <c r="Z41" i="3"/>
  <c r="Y40" i="3"/>
  <c r="AA38" i="3"/>
  <c r="Z37" i="3"/>
  <c r="Y36" i="3"/>
  <c r="AA34" i="3"/>
  <c r="Z33" i="3"/>
  <c r="Y32" i="3"/>
  <c r="AG24" i="3"/>
  <c r="AC24" i="3"/>
  <c r="Y24" i="3"/>
  <c r="AG23" i="3"/>
  <c r="AC23" i="3"/>
  <c r="Y23" i="3"/>
  <c r="AG22" i="3"/>
  <c r="AC22" i="3"/>
  <c r="Y22" i="3"/>
  <c r="AG21" i="3"/>
  <c r="AC21" i="3"/>
  <c r="Y21" i="3"/>
  <c r="AG20" i="3"/>
  <c r="AC20" i="3"/>
  <c r="Y20" i="3"/>
  <c r="AG19" i="3"/>
  <c r="AC19" i="3"/>
  <c r="Y19" i="3"/>
  <c r="AG18" i="3"/>
  <c r="AC18" i="3"/>
  <c r="Y18" i="3"/>
  <c r="AG17" i="3"/>
  <c r="AC17" i="3"/>
  <c r="Y17" i="3"/>
  <c r="AG16" i="3"/>
  <c r="AC16" i="3"/>
  <c r="Y16" i="3"/>
  <c r="AG15" i="3"/>
  <c r="AC15" i="3"/>
  <c r="Y15" i="3"/>
  <c r="AG14" i="3"/>
  <c r="AC14" i="3"/>
  <c r="Y14" i="3"/>
  <c r="AG13" i="3"/>
  <c r="AC13" i="3"/>
  <c r="Y13" i="3"/>
  <c r="AG12" i="3"/>
  <c r="AC12" i="3"/>
  <c r="Y12" i="3"/>
  <c r="AG11" i="3"/>
  <c r="AC11" i="3"/>
  <c r="Y11" i="3"/>
  <c r="AC10" i="3"/>
  <c r="AG10" i="3"/>
  <c r="Y10" i="3"/>
  <c r="G10" i="3"/>
  <c r="G12" i="3"/>
  <c r="F22" i="3"/>
  <c r="Y42" i="3"/>
  <c r="Y38" i="3"/>
  <c r="Z35" i="3"/>
  <c r="AA31" i="3"/>
  <c r="AA24" i="3"/>
  <c r="AA23" i="3"/>
  <c r="AA22" i="3"/>
  <c r="AA21" i="3"/>
  <c r="AA20" i="3"/>
  <c r="AA19" i="3"/>
  <c r="AA18" i="3"/>
  <c r="AA17" i="3"/>
  <c r="AA16" i="3"/>
  <c r="AA15" i="3"/>
  <c r="AA14" i="3"/>
  <c r="AA13" i="3"/>
  <c r="AA12" i="3"/>
  <c r="AA11" i="3"/>
  <c r="AI10" i="3"/>
  <c r="F14" i="3"/>
  <c r="Y45" i="3"/>
  <c r="AA43" i="3"/>
  <c r="Z42" i="3"/>
  <c r="Y41" i="3"/>
  <c r="AA39" i="3"/>
  <c r="Z38" i="3"/>
  <c r="Y37" i="3"/>
  <c r="AA35" i="3"/>
  <c r="Z34" i="3"/>
  <c r="Y33" i="3"/>
  <c r="Z31" i="3"/>
  <c r="AJ24" i="3"/>
  <c r="AF24" i="3"/>
  <c r="AB24" i="3"/>
  <c r="AJ23" i="3"/>
  <c r="AF23" i="3"/>
  <c r="AB23" i="3"/>
  <c r="AJ22" i="3"/>
  <c r="AF22" i="3"/>
  <c r="AB22" i="3"/>
  <c r="AJ21" i="3"/>
  <c r="AF21" i="3"/>
  <c r="AB21" i="3"/>
  <c r="AJ20" i="3"/>
  <c r="AF20" i="3"/>
  <c r="AB20" i="3"/>
  <c r="AJ19" i="3"/>
  <c r="AF19" i="3"/>
  <c r="AB19" i="3"/>
  <c r="AJ18" i="3"/>
  <c r="AF18" i="3"/>
  <c r="AB18" i="3"/>
  <c r="AJ17" i="3"/>
  <c r="AF17" i="3"/>
  <c r="AB17" i="3"/>
  <c r="AJ16" i="3"/>
  <c r="AF16" i="3"/>
  <c r="AB16" i="3"/>
  <c r="AJ15" i="3"/>
  <c r="AF15" i="3"/>
  <c r="AB15" i="3"/>
  <c r="AJ14" i="3"/>
  <c r="AF14" i="3"/>
  <c r="AB14" i="3"/>
  <c r="AJ13" i="3"/>
  <c r="AF13" i="3"/>
  <c r="AB13" i="3"/>
  <c r="AJ12" i="3"/>
  <c r="AF12" i="3"/>
  <c r="AB12" i="3"/>
  <c r="AJ11" i="3"/>
  <c r="AF11" i="3"/>
  <c r="AB11" i="3"/>
  <c r="Z10" i="3"/>
  <c r="AD10" i="3"/>
  <c r="AH10" i="3"/>
  <c r="G14" i="3"/>
  <c r="F12" i="3"/>
  <c r="F21" i="3"/>
  <c r="Z43" i="3"/>
  <c r="AA40" i="3"/>
  <c r="AA36" i="3"/>
  <c r="AA32" i="3"/>
  <c r="AE24" i="3"/>
  <c r="AE23" i="3"/>
  <c r="AE22" i="3"/>
  <c r="AE21" i="3"/>
  <c r="AE20" i="3"/>
  <c r="AI19" i="3"/>
  <c r="AI18" i="3"/>
  <c r="AE17" i="3"/>
  <c r="AE16" i="3"/>
  <c r="AE15" i="3"/>
  <c r="AE14" i="3"/>
  <c r="AE13" i="3"/>
  <c r="AE12" i="3"/>
  <c r="AI11" i="3"/>
  <c r="AE10" i="3"/>
  <c r="F20" i="3"/>
  <c r="Q62" i="9"/>
  <c r="AG58" i="9"/>
  <c r="Q58" i="9"/>
  <c r="AG54" i="9"/>
  <c r="AG66" i="9"/>
  <c r="Q54" i="9"/>
  <c r="M61" i="9"/>
  <c r="M56" i="9"/>
  <c r="M50" i="9"/>
  <c r="Y47" i="9"/>
  <c r="Y52" i="9"/>
  <c r="AC65" i="9"/>
  <c r="AC60" i="9"/>
  <c r="AC54" i="9"/>
  <c r="AC49" i="9"/>
  <c r="M65" i="9"/>
  <c r="M60" i="9"/>
  <c r="M54" i="9"/>
  <c r="M49" i="9"/>
  <c r="Y64" i="9"/>
  <c r="Y48" i="9"/>
  <c r="AC64" i="9"/>
  <c r="AC58" i="9"/>
  <c r="AC53" i="9"/>
  <c r="AC48" i="9"/>
  <c r="M64" i="9"/>
  <c r="M58" i="9"/>
  <c r="M53" i="9"/>
  <c r="M48" i="9"/>
  <c r="Y60" i="9"/>
  <c r="AC47" i="9"/>
  <c r="AC62" i="9"/>
  <c r="AC57" i="9"/>
  <c r="AC52" i="9"/>
  <c r="AG51" i="9"/>
  <c r="AG59" i="9"/>
  <c r="AG65" i="9"/>
  <c r="M47" i="9"/>
  <c r="M62" i="9"/>
  <c r="M57" i="9"/>
  <c r="M52" i="9"/>
  <c r="Q50" i="9"/>
  <c r="Y56" i="9"/>
  <c r="AC66" i="9"/>
  <c r="AC61" i="9"/>
  <c r="AC56" i="9"/>
  <c r="AC50" i="9"/>
  <c r="AG62" i="9"/>
  <c r="U63" i="9"/>
  <c r="U55" i="9"/>
  <c r="AK59" i="9"/>
  <c r="Q65" i="9"/>
  <c r="Q61" i="9"/>
  <c r="Q57" i="9"/>
  <c r="Q53" i="9"/>
  <c r="Q49" i="9"/>
  <c r="U66" i="9"/>
  <c r="U62" i="9"/>
  <c r="U58" i="9"/>
  <c r="U54" i="9"/>
  <c r="U50" i="9"/>
  <c r="Y67" i="9"/>
  <c r="Y63" i="9"/>
  <c r="Y59" i="9"/>
  <c r="Y55" i="9"/>
  <c r="Y51" i="9"/>
  <c r="AG61" i="9"/>
  <c r="AG57" i="9"/>
  <c r="AG53" i="9"/>
  <c r="AG49" i="9"/>
  <c r="AK66" i="9"/>
  <c r="AK62" i="9"/>
  <c r="AK58" i="9"/>
  <c r="AK54" i="9"/>
  <c r="AK50" i="9"/>
  <c r="M67" i="9"/>
  <c r="M63" i="9"/>
  <c r="M59" i="9"/>
  <c r="M55" i="9"/>
  <c r="Q47" i="9"/>
  <c r="Q64" i="9"/>
  <c r="Q60" i="9"/>
  <c r="Q56" i="9"/>
  <c r="Q52" i="9"/>
  <c r="Q48" i="9"/>
  <c r="U65" i="9"/>
  <c r="U61" i="9"/>
  <c r="U57" i="9"/>
  <c r="U53" i="9"/>
  <c r="U49" i="9"/>
  <c r="Y66" i="9"/>
  <c r="Y62" i="9"/>
  <c r="Y58" i="9"/>
  <c r="Y54" i="9"/>
  <c r="Y50" i="9"/>
  <c r="AC67" i="9"/>
  <c r="AC63" i="9"/>
  <c r="AC59" i="9"/>
  <c r="AC55" i="9"/>
  <c r="AG47" i="9"/>
  <c r="AG64" i="9"/>
  <c r="AG60" i="9"/>
  <c r="AG56" i="9"/>
  <c r="AG52" i="9"/>
  <c r="AG48" i="9"/>
  <c r="AK65" i="9"/>
  <c r="AK61" i="9"/>
  <c r="AK57" i="9"/>
  <c r="AK53" i="9"/>
  <c r="AK49" i="9"/>
  <c r="U67" i="9"/>
  <c r="U59" i="9"/>
  <c r="U51" i="9"/>
  <c r="AK67" i="9"/>
  <c r="AK63" i="9"/>
  <c r="AK55" i="9"/>
  <c r="AK51" i="9"/>
  <c r="Q67" i="9"/>
  <c r="Q59" i="9"/>
  <c r="Q55" i="9"/>
  <c r="U47" i="9"/>
  <c r="U64" i="9"/>
  <c r="U60" i="9"/>
  <c r="U56" i="9"/>
  <c r="U52" i="9"/>
  <c r="Y65" i="9"/>
  <c r="Y61" i="9"/>
  <c r="Y57" i="9"/>
  <c r="Y53" i="9"/>
  <c r="AG67" i="9"/>
  <c r="AG63" i="9"/>
  <c r="AG55" i="9"/>
  <c r="AK47" i="9"/>
  <c r="AK64" i="9"/>
  <c r="AK60" i="9"/>
  <c r="AK56" i="9"/>
  <c r="AK52" i="9"/>
  <c r="J23" i="5"/>
  <c r="C23" i="5"/>
  <c r="D24" i="5"/>
  <c r="E24" i="5"/>
  <c r="F24" i="5"/>
  <c r="G24" i="5"/>
  <c r="H24" i="5"/>
  <c r="C24" i="5"/>
  <c r="D23" i="5"/>
  <c r="E23" i="5"/>
  <c r="F23" i="5"/>
  <c r="G23" i="5"/>
  <c r="H23" i="5"/>
  <c r="D66" i="9"/>
  <c r="E7" i="18"/>
  <c r="G40" i="11" l="1"/>
  <c r="H40" i="11" s="1"/>
  <c r="G48" i="11"/>
  <c r="H48" i="11" s="1"/>
  <c r="G56" i="11"/>
  <c r="H56" i="11" s="1"/>
  <c r="G64" i="11"/>
  <c r="H64" i="11" s="1"/>
  <c r="D36" i="11"/>
  <c r="E36" i="11" s="1"/>
  <c r="D44" i="11"/>
  <c r="E44" i="11" s="1"/>
  <c r="D52" i="11"/>
  <c r="E52" i="11" s="1"/>
  <c r="D60" i="11"/>
  <c r="E60" i="11" s="1"/>
  <c r="D68" i="11"/>
  <c r="E68" i="11" s="1"/>
  <c r="G41" i="11"/>
  <c r="H41" i="11" s="1"/>
  <c r="G49" i="11"/>
  <c r="H49" i="11" s="1"/>
  <c r="G57" i="11"/>
  <c r="H57" i="11" s="1"/>
  <c r="G65" i="11"/>
  <c r="H65" i="11" s="1"/>
  <c r="D37" i="11"/>
  <c r="E37" i="11" s="1"/>
  <c r="D45" i="11"/>
  <c r="E45" i="11" s="1"/>
  <c r="D53" i="11"/>
  <c r="E53" i="11" s="1"/>
  <c r="D61" i="11"/>
  <c r="E61" i="11" s="1"/>
  <c r="D33" i="11"/>
  <c r="E33" i="11" s="1"/>
  <c r="G62" i="11"/>
  <c r="H62" i="11" s="1"/>
  <c r="D58" i="11"/>
  <c r="E58" i="11" s="1"/>
  <c r="L38" i="11" s="1"/>
  <c r="C60" i="4"/>
  <c r="D60" i="4" s="1"/>
  <c r="G47" i="11"/>
  <c r="H47" i="11" s="1"/>
  <c r="D35" i="11"/>
  <c r="E35" i="11" s="1"/>
  <c r="D59" i="11"/>
  <c r="E59" i="11" s="1"/>
  <c r="C58" i="4"/>
  <c r="D58" i="4" s="1"/>
  <c r="G34" i="11"/>
  <c r="H34" i="11" s="1"/>
  <c r="G42" i="11"/>
  <c r="H42" i="11" s="1"/>
  <c r="G50" i="11"/>
  <c r="H50" i="11" s="1"/>
  <c r="G58" i="11"/>
  <c r="H58" i="11" s="1"/>
  <c r="G66" i="11"/>
  <c r="H66" i="11" s="1"/>
  <c r="D38" i="11"/>
  <c r="E38" i="11" s="1"/>
  <c r="L34" i="11" s="1"/>
  <c r="D46" i="11"/>
  <c r="E46" i="11" s="1"/>
  <c r="D54" i="11"/>
  <c r="E54" i="11" s="1"/>
  <c r="D62" i="11"/>
  <c r="E62" i="11" s="1"/>
  <c r="G36" i="11"/>
  <c r="H36" i="11" s="1"/>
  <c r="G52" i="11"/>
  <c r="H52" i="11" s="1"/>
  <c r="G60" i="11"/>
  <c r="H60" i="11" s="1"/>
  <c r="D40" i="11"/>
  <c r="E40" i="11" s="1"/>
  <c r="D56" i="11"/>
  <c r="E56" i="11" s="1"/>
  <c r="G37" i="11"/>
  <c r="H37" i="11" s="1"/>
  <c r="G53" i="11"/>
  <c r="H53" i="11" s="1"/>
  <c r="G33" i="11"/>
  <c r="H33" i="11" s="1"/>
  <c r="D49" i="11"/>
  <c r="E49" i="11" s="1"/>
  <c r="D65" i="11"/>
  <c r="E65" i="11" s="1"/>
  <c r="C59" i="4"/>
  <c r="D59" i="4" s="1"/>
  <c r="G46" i="11"/>
  <c r="H46" i="11" s="1"/>
  <c r="D34" i="11"/>
  <c r="E34" i="11" s="1"/>
  <c r="D50" i="11"/>
  <c r="E50" i="11" s="1"/>
  <c r="G39" i="11"/>
  <c r="H39" i="11" s="1"/>
  <c r="G63" i="11"/>
  <c r="H63" i="11" s="1"/>
  <c r="D51" i="11"/>
  <c r="E51" i="11" s="1"/>
  <c r="D67" i="11"/>
  <c r="E67" i="11" s="1"/>
  <c r="G35" i="11"/>
  <c r="H35" i="11" s="1"/>
  <c r="G43" i="11"/>
  <c r="H43" i="11" s="1"/>
  <c r="M35" i="11" s="1"/>
  <c r="G51" i="11"/>
  <c r="H51" i="11" s="1"/>
  <c r="G59" i="11"/>
  <c r="H59" i="11" s="1"/>
  <c r="G67" i="11"/>
  <c r="H67" i="11" s="1"/>
  <c r="D39" i="11"/>
  <c r="E39" i="11" s="1"/>
  <c r="D47" i="11"/>
  <c r="E47" i="11" s="1"/>
  <c r="D55" i="11"/>
  <c r="E55" i="11" s="1"/>
  <c r="D63" i="11"/>
  <c r="E63" i="11" s="1"/>
  <c r="L39" i="11" s="1"/>
  <c r="G44" i="11"/>
  <c r="H44" i="11" s="1"/>
  <c r="G68" i="11"/>
  <c r="H68" i="11" s="1"/>
  <c r="M40" i="11" s="1"/>
  <c r="D48" i="11"/>
  <c r="E48" i="11" s="1"/>
  <c r="L36" i="11" s="1"/>
  <c r="D64" i="11"/>
  <c r="E64" i="11" s="1"/>
  <c r="G45" i="11"/>
  <c r="H45" i="11" s="1"/>
  <c r="G61" i="11"/>
  <c r="H61" i="11" s="1"/>
  <c r="D41" i="11"/>
  <c r="E41" i="11" s="1"/>
  <c r="D57" i="11"/>
  <c r="E57" i="11" s="1"/>
  <c r="G38" i="11"/>
  <c r="H38" i="11" s="1"/>
  <c r="M34" i="11" s="1"/>
  <c r="G54" i="11"/>
  <c r="H54" i="11" s="1"/>
  <c r="D42" i="11"/>
  <c r="E42" i="11" s="1"/>
  <c r="D66" i="11"/>
  <c r="E66" i="11" s="1"/>
  <c r="G55" i="11"/>
  <c r="H55" i="11" s="1"/>
  <c r="D43" i="11"/>
  <c r="E43" i="11" s="1"/>
  <c r="L35" i="11" s="1"/>
  <c r="M37" i="11"/>
  <c r="M38" i="11"/>
  <c r="M39" i="11"/>
  <c r="L37" i="11"/>
  <c r="L33" i="11"/>
  <c r="M36" i="11"/>
  <c r="L40" i="11"/>
  <c r="M33" i="11"/>
  <c r="C92" i="11"/>
  <c r="B92" i="11"/>
  <c r="D92" i="11"/>
  <c r="E92" i="11"/>
  <c r="F92" i="11"/>
  <c r="C93" i="11"/>
  <c r="F93" i="11"/>
  <c r="B93" i="11"/>
  <c r="D93" i="11"/>
  <c r="E93" i="11"/>
  <c r="C94" i="11"/>
  <c r="E94" i="11"/>
  <c r="D94" i="11"/>
  <c r="B94" i="11"/>
  <c r="F94" i="11"/>
  <c r="C96" i="11"/>
  <c r="B96" i="11"/>
  <c r="D96" i="11"/>
  <c r="E96" i="11"/>
  <c r="F96" i="11"/>
  <c r="C95" i="11"/>
  <c r="F95" i="11"/>
  <c r="D95" i="11"/>
  <c r="B95" i="11"/>
  <c r="E95" i="11"/>
  <c r="D8" i="14"/>
  <c r="C20" i="14" s="1"/>
  <c r="D9" i="14"/>
  <c r="C9" i="14" s="1"/>
  <c r="D14" i="14"/>
  <c r="C14" i="14" s="1"/>
  <c r="D13" i="14"/>
  <c r="C13" i="14" s="1"/>
  <c r="D12" i="14"/>
  <c r="C12" i="14" s="1"/>
  <c r="D11" i="14"/>
  <c r="E11" i="14" s="1"/>
  <c r="D10" i="14"/>
  <c r="G10" i="14" s="1"/>
  <c r="U11" i="14"/>
  <c r="U12" i="14"/>
  <c r="S19" i="14"/>
  <c r="T18" i="14"/>
  <c r="T17" i="14"/>
  <c r="T16" i="14"/>
  <c r="D15" i="14"/>
  <c r="C15" i="14" s="1"/>
  <c r="U10" i="14"/>
  <c r="U9" i="14"/>
  <c r="U8" i="14"/>
  <c r="U7" i="14"/>
  <c r="U6" i="14"/>
  <c r="U5" i="14"/>
  <c r="U4" i="14"/>
  <c r="S9" i="10"/>
  <c r="T9" i="10"/>
  <c r="U9" i="10"/>
  <c r="V9" i="10"/>
  <c r="W9" i="10"/>
  <c r="S10" i="10"/>
  <c r="T10" i="10"/>
  <c r="U10" i="10"/>
  <c r="V10" i="10"/>
  <c r="W10" i="10"/>
  <c r="S11" i="10"/>
  <c r="T11" i="10"/>
  <c r="U11" i="10"/>
  <c r="V11" i="10"/>
  <c r="W11" i="10"/>
  <c r="S12" i="10"/>
  <c r="T12" i="10"/>
  <c r="U12" i="10"/>
  <c r="V12" i="10"/>
  <c r="W12" i="10"/>
  <c r="S13" i="10"/>
  <c r="T13" i="10"/>
  <c r="U13" i="10"/>
  <c r="V13" i="10"/>
  <c r="W13" i="10"/>
  <c r="S14" i="10"/>
  <c r="T14" i="10"/>
  <c r="U14" i="10"/>
  <c r="V14" i="10"/>
  <c r="W14" i="10"/>
  <c r="S15" i="10"/>
  <c r="T15" i="10"/>
  <c r="U15" i="10"/>
  <c r="V15" i="10"/>
  <c r="W15" i="10"/>
  <c r="S16" i="10"/>
  <c r="T16" i="10"/>
  <c r="U16" i="10"/>
  <c r="V16" i="10"/>
  <c r="W16" i="10"/>
  <c r="S17" i="10"/>
  <c r="T17" i="10"/>
  <c r="U17" i="10"/>
  <c r="V17" i="10"/>
  <c r="W17" i="10"/>
  <c r="T8" i="10"/>
  <c r="U8" i="10"/>
  <c r="V8" i="10"/>
  <c r="W8" i="10"/>
  <c r="S8" i="10"/>
  <c r="T23" i="10" s="1"/>
  <c r="T26" i="11"/>
  <c r="T100" i="11"/>
  <c r="T99" i="11"/>
  <c r="T98" i="11"/>
  <c r="T97" i="11"/>
  <c r="T96" i="11"/>
  <c r="T95" i="11"/>
  <c r="T94" i="11"/>
  <c r="D65" i="9"/>
  <c r="D47" i="9"/>
  <c r="N17" i="10"/>
  <c r="M17" i="10"/>
  <c r="L17" i="10"/>
  <c r="K17" i="10"/>
  <c r="N16" i="10"/>
  <c r="M16" i="10"/>
  <c r="L16" i="10"/>
  <c r="K16" i="10"/>
  <c r="N15" i="10"/>
  <c r="M15" i="10"/>
  <c r="L15" i="10"/>
  <c r="K15" i="10"/>
  <c r="N14" i="10"/>
  <c r="M14" i="10"/>
  <c r="L14" i="10"/>
  <c r="K14" i="10"/>
  <c r="N13" i="10"/>
  <c r="M13" i="10"/>
  <c r="L13" i="10"/>
  <c r="K13" i="10"/>
  <c r="N12" i="10"/>
  <c r="M12" i="10"/>
  <c r="L12" i="10"/>
  <c r="K12" i="10"/>
  <c r="N11" i="10"/>
  <c r="M11" i="10"/>
  <c r="L11" i="10"/>
  <c r="K11" i="10"/>
  <c r="N10" i="10"/>
  <c r="M10" i="10"/>
  <c r="L10" i="10"/>
  <c r="K10" i="10"/>
  <c r="N9" i="10"/>
  <c r="M9" i="10"/>
  <c r="L9" i="10"/>
  <c r="K9" i="10"/>
  <c r="N8" i="10"/>
  <c r="M8" i="10"/>
  <c r="L8" i="10"/>
  <c r="K8" i="10"/>
  <c r="D50" i="9"/>
  <c r="D53" i="9"/>
  <c r="D58" i="9"/>
  <c r="D62" i="9"/>
  <c r="E29" i="7"/>
  <c r="E2" i="7" s="1"/>
  <c r="E39" i="7"/>
  <c r="E34" i="7" s="1"/>
  <c r="E38" i="7"/>
  <c r="E33" i="7" s="1"/>
  <c r="E4" i="7"/>
  <c r="D61" i="9"/>
  <c r="D56" i="9"/>
  <c r="D52" i="9"/>
  <c r="D49" i="9"/>
  <c r="E13" i="7" s="1"/>
  <c r="D64" i="9"/>
  <c r="D60" i="9"/>
  <c r="D55" i="9"/>
  <c r="D51" i="9"/>
  <c r="D48" i="9"/>
  <c r="D57" i="9"/>
  <c r="D63" i="9"/>
  <c r="F15" i="18" s="1"/>
  <c r="H15" i="18" s="1"/>
  <c r="D59" i="9"/>
  <c r="D54" i="9"/>
  <c r="E8" i="14"/>
  <c r="C23" i="14"/>
  <c r="C27" i="14"/>
  <c r="G12" i="14"/>
  <c r="H12" i="14" s="1"/>
  <c r="G15" i="14"/>
  <c r="G11" i="14"/>
  <c r="H11" i="14" s="1"/>
  <c r="G9" i="14"/>
  <c r="J9" i="14" s="1"/>
  <c r="M9" i="14" s="1"/>
  <c r="H21" i="14" s="1"/>
  <c r="E9" i="14"/>
  <c r="E13" i="14"/>
  <c r="E15" i="14"/>
  <c r="C11" i="14"/>
  <c r="J15" i="14"/>
  <c r="M15" i="14" s="1"/>
  <c r="H27" i="14" s="1"/>
  <c r="E27" i="14"/>
  <c r="H9" i="14"/>
  <c r="K9" i="14" s="1"/>
  <c r="N9" i="14" s="1"/>
  <c r="I21" i="14" s="1"/>
  <c r="F15" i="14"/>
  <c r="I15" i="14" s="1"/>
  <c r="L15" i="14" s="1"/>
  <c r="G27" i="14" s="1"/>
  <c r="H15" i="14"/>
  <c r="F27" i="14" s="1"/>
  <c r="K15" i="14"/>
  <c r="N15" i="14" s="1"/>
  <c r="I27" i="14" s="1"/>
  <c r="D27" i="14" l="1"/>
  <c r="C69" i="4"/>
  <c r="C70" i="4"/>
  <c r="C71" i="4"/>
  <c r="C72" i="4"/>
  <c r="C68" i="4"/>
  <c r="D10" i="22"/>
  <c r="D9" i="22"/>
  <c r="F9" i="14"/>
  <c r="E21" i="14"/>
  <c r="J11" i="14"/>
  <c r="M11" i="14" s="1"/>
  <c r="H23" i="14" s="1"/>
  <c r="C21" i="14"/>
  <c r="G13" i="14"/>
  <c r="C25" i="14"/>
  <c r="G14" i="14"/>
  <c r="J6" i="17"/>
  <c r="J4" i="17"/>
  <c r="I5" i="17"/>
  <c r="I6" i="17"/>
  <c r="J5" i="17"/>
  <c r="L96" i="11"/>
  <c r="J44" i="5"/>
  <c r="J54" i="5" s="1"/>
  <c r="D45" i="5"/>
  <c r="D55" i="5" s="1"/>
  <c r="H45" i="5"/>
  <c r="H55" i="5" s="1"/>
  <c r="F44" i="5"/>
  <c r="F54" i="5" s="1"/>
  <c r="E45" i="5"/>
  <c r="E55" i="5" s="1"/>
  <c r="C45" i="5"/>
  <c r="C55" i="5" s="1"/>
  <c r="G44" i="5"/>
  <c r="G54" i="5" s="1"/>
  <c r="F45" i="5"/>
  <c r="F55" i="5" s="1"/>
  <c r="D44" i="5"/>
  <c r="D54" i="5" s="1"/>
  <c r="H44" i="5"/>
  <c r="H54" i="5" s="1"/>
  <c r="G45" i="5"/>
  <c r="G55" i="5" s="1"/>
  <c r="E44" i="5"/>
  <c r="E54" i="5" s="1"/>
  <c r="C44" i="5"/>
  <c r="C54" i="5" s="1"/>
  <c r="F21" i="7"/>
  <c r="F29" i="4"/>
  <c r="I29" i="4" s="1"/>
  <c r="K12" i="14"/>
  <c r="N12" i="14" s="1"/>
  <c r="I24" i="14" s="1"/>
  <c r="F24" i="14"/>
  <c r="F23" i="14"/>
  <c r="K11" i="14"/>
  <c r="N11" i="14" s="1"/>
  <c r="I23" i="14" s="1"/>
  <c r="E22" i="14"/>
  <c r="H10" i="14"/>
  <c r="J10" i="14"/>
  <c r="M10" i="14" s="1"/>
  <c r="H22" i="14" s="1"/>
  <c r="F10" i="14"/>
  <c r="J12" i="14"/>
  <c r="M12" i="14" s="1"/>
  <c r="H24" i="14" s="1"/>
  <c r="F21" i="14"/>
  <c r="E23" i="14"/>
  <c r="E12" i="14"/>
  <c r="C10" i="14"/>
  <c r="G8" i="14"/>
  <c r="C24" i="14"/>
  <c r="F39" i="4"/>
  <c r="G38" i="4"/>
  <c r="F38" i="4"/>
  <c r="F11" i="14"/>
  <c r="F8" i="4"/>
  <c r="F7" i="4"/>
  <c r="G8" i="4"/>
  <c r="G7" i="4"/>
  <c r="C8" i="14"/>
  <c r="E10" i="14"/>
  <c r="C22" i="14"/>
  <c r="F12" i="14"/>
  <c r="E24" i="14"/>
  <c r="E14" i="14"/>
  <c r="C26" i="14"/>
  <c r="O97" i="11"/>
  <c r="F26" i="7"/>
  <c r="L94" i="11"/>
  <c r="M92" i="11"/>
  <c r="O98" i="11"/>
  <c r="N95" i="11"/>
  <c r="N97" i="11"/>
  <c r="O94" i="11"/>
  <c r="F23" i="7"/>
  <c r="O95" i="11"/>
  <c r="F13" i="7"/>
  <c r="L93" i="11"/>
  <c r="L95" i="11"/>
  <c r="M94" i="11"/>
  <c r="E27" i="7"/>
  <c r="F24" i="7"/>
  <c r="E22" i="7"/>
  <c r="G21" i="4"/>
  <c r="M95" i="11"/>
  <c r="E14" i="7"/>
  <c r="F19" i="7"/>
  <c r="F9" i="7"/>
  <c r="E15" i="7"/>
  <c r="E23" i="7"/>
  <c r="I4" i="17"/>
  <c r="F17" i="7"/>
  <c r="F16" i="7"/>
  <c r="E16" i="7"/>
  <c r="L98" i="11"/>
  <c r="N98" i="11"/>
  <c r="P97" i="11"/>
  <c r="O92" i="11"/>
  <c r="P92" i="11"/>
  <c r="F15" i="7"/>
  <c r="F27" i="4"/>
  <c r="I27" i="4" s="1"/>
  <c r="E11" i="7"/>
  <c r="P96" i="11"/>
  <c r="N92" i="11"/>
  <c r="M93" i="11"/>
  <c r="M96" i="11"/>
  <c r="F25" i="7"/>
  <c r="F27" i="7"/>
  <c r="P94" i="11"/>
  <c r="P93" i="11"/>
  <c r="N94" i="11"/>
  <c r="E25" i="7"/>
  <c r="P95" i="11"/>
  <c r="G29" i="4"/>
  <c r="G14" i="4" s="1"/>
  <c r="F14" i="7"/>
  <c r="E24" i="7"/>
  <c r="E21" i="7"/>
  <c r="N93" i="11"/>
  <c r="M98" i="11"/>
  <c r="F22" i="7"/>
  <c r="G28" i="4"/>
  <c r="J28" i="4" s="1"/>
  <c r="L92" i="11"/>
  <c r="N96" i="11"/>
  <c r="E10" i="7"/>
  <c r="F11" i="7"/>
  <c r="F18" i="7"/>
  <c r="F10" i="7"/>
  <c r="O93" i="11"/>
  <c r="E18" i="7"/>
  <c r="E9" i="7"/>
  <c r="L97" i="11"/>
  <c r="F28" i="4"/>
  <c r="F12" i="7"/>
  <c r="F20" i="7"/>
  <c r="G27" i="4"/>
  <c r="J27" i="4" s="1"/>
  <c r="F20" i="4"/>
  <c r="M97" i="11"/>
  <c r="O96" i="11"/>
  <c r="P98" i="11"/>
  <c r="G19" i="4"/>
  <c r="F21" i="4"/>
  <c r="F20" i="18"/>
  <c r="F12" i="18"/>
  <c r="I12" i="18" s="1"/>
  <c r="F3" i="18"/>
  <c r="F21" i="18"/>
  <c r="F4" i="18"/>
  <c r="E12" i="18"/>
  <c r="H12" i="18" s="1"/>
  <c r="E11" i="18"/>
  <c r="H11" i="18" s="1"/>
  <c r="F13" i="18"/>
  <c r="I13" i="18" s="1"/>
  <c r="F11" i="18"/>
  <c r="I11" i="18" s="1"/>
  <c r="F5" i="18"/>
  <c r="E13" i="18"/>
  <c r="H13" i="18" s="1"/>
  <c r="E26" i="18"/>
  <c r="F7" i="18"/>
  <c r="C26" i="18"/>
  <c r="G20" i="4"/>
  <c r="F19" i="4"/>
  <c r="J13" i="14" l="1"/>
  <c r="M13" i="14" s="1"/>
  <c r="H25" i="14" s="1"/>
  <c r="E25" i="14"/>
  <c r="H13" i="14"/>
  <c r="F13" i="14"/>
  <c r="E26" i="14"/>
  <c r="H14" i="14"/>
  <c r="F14" i="14"/>
  <c r="J14" i="14"/>
  <c r="M14" i="14" s="1"/>
  <c r="H26" i="14" s="1"/>
  <c r="D21" i="14"/>
  <c r="I9" i="14"/>
  <c r="L9" i="14" s="1"/>
  <c r="G21" i="14" s="1"/>
  <c r="F14" i="4"/>
  <c r="G12" i="4"/>
  <c r="I12" i="14"/>
  <c r="L12" i="14" s="1"/>
  <c r="G24" i="14" s="1"/>
  <c r="D24" i="14"/>
  <c r="D22" i="14"/>
  <c r="I10" i="14"/>
  <c r="L10" i="14" s="1"/>
  <c r="G22" i="14" s="1"/>
  <c r="I11" i="14"/>
  <c r="L11" i="14" s="1"/>
  <c r="G23" i="14" s="1"/>
  <c r="D23" i="14"/>
  <c r="K10" i="14"/>
  <c r="N10" i="14" s="1"/>
  <c r="I22" i="14" s="1"/>
  <c r="F22" i="14"/>
  <c r="F8" i="14"/>
  <c r="J8" i="14"/>
  <c r="M8" i="14" s="1"/>
  <c r="H20" i="14" s="1"/>
  <c r="H8" i="14"/>
  <c r="E20" i="14"/>
  <c r="G22" i="4" a="1"/>
  <c r="G22" i="4" s="1"/>
  <c r="G3" i="4" s="1"/>
  <c r="G13" i="4"/>
  <c r="J29" i="4"/>
  <c r="F12" i="4"/>
  <c r="F22" i="4" a="1"/>
  <c r="F22" i="4" s="1"/>
  <c r="F3" i="4" s="1"/>
  <c r="I28" i="4"/>
  <c r="F13" i="4"/>
  <c r="F26" i="18"/>
  <c r="F23" i="18" s="1"/>
  <c r="D26" i="14" l="1"/>
  <c r="I14" i="14"/>
  <c r="L14" i="14" s="1"/>
  <c r="G26" i="14" s="1"/>
  <c r="F25" i="14"/>
  <c r="K13" i="14"/>
  <c r="N13" i="14" s="1"/>
  <c r="I25" i="14" s="1"/>
  <c r="F26" i="14"/>
  <c r="K14" i="14"/>
  <c r="N14" i="14" s="1"/>
  <c r="I26" i="14" s="1"/>
  <c r="D25" i="14"/>
  <c r="I13" i="14"/>
  <c r="L13" i="14" s="1"/>
  <c r="G25" i="14" s="1"/>
  <c r="F20" i="14"/>
  <c r="K8" i="14"/>
  <c r="N8" i="14" s="1"/>
  <c r="I20" i="14" s="1"/>
  <c r="D20" i="14"/>
  <c r="I8" i="14"/>
  <c r="L8" i="14" s="1"/>
  <c r="G20" i="14" s="1"/>
</calcChain>
</file>

<file path=xl/sharedStrings.xml><?xml version="1.0" encoding="utf-8"?>
<sst xmlns="http://schemas.openxmlformats.org/spreadsheetml/2006/main" count="1636" uniqueCount="879">
  <si>
    <t>Current year</t>
  </si>
  <si>
    <t>2006 to current year</t>
  </si>
  <si>
    <t>Country</t>
  </si>
  <si>
    <t>Official values in use</t>
  </si>
  <si>
    <t>(€m)</t>
  </si>
  <si>
    <t>UNITE VOSL</t>
  </si>
  <si>
    <t>Austria</t>
  </si>
  <si>
    <t>Belgium</t>
  </si>
  <si>
    <t>Denmark</t>
  </si>
  <si>
    <t>Finland</t>
  </si>
  <si>
    <t>France</t>
  </si>
  <si>
    <t>Germany</t>
  </si>
  <si>
    <t xml:space="preserve">Greece </t>
  </si>
  <si>
    <t>Ireland</t>
  </si>
  <si>
    <t>Italy</t>
  </si>
  <si>
    <t>n.a.</t>
  </si>
  <si>
    <t>Luxembourg</t>
  </si>
  <si>
    <t>Netherlands</t>
  </si>
  <si>
    <t>Norway</t>
  </si>
  <si>
    <t>Portugal</t>
  </si>
  <si>
    <t>Spain</t>
  </si>
  <si>
    <t xml:space="preserve">Sweden </t>
  </si>
  <si>
    <t xml:space="preserve">Switzerland </t>
  </si>
  <si>
    <t xml:space="preserve">United Kingdom </t>
  </si>
  <si>
    <t xml:space="preserve">Hungary </t>
  </si>
  <si>
    <t xml:space="preserve">Estonia </t>
  </si>
  <si>
    <t xml:space="preserve">Value of avoided injuries </t>
  </si>
  <si>
    <t>Injury</t>
  </si>
  <si>
    <t>WTP Value</t>
  </si>
  <si>
    <t>Emergency/Medical</t>
  </si>
  <si>
    <t>Legal/Court</t>
  </si>
  <si>
    <t>Total Value</t>
  </si>
  <si>
    <t>Minor</t>
  </si>
  <si>
    <t>Major</t>
  </si>
  <si>
    <t>Medium</t>
  </si>
  <si>
    <t>Aircraft Type</t>
  </si>
  <si>
    <t>Marginal Damage Costs (€)</t>
  </si>
  <si>
    <t>A 310</t>
  </si>
  <si>
    <t>A 340</t>
  </si>
  <si>
    <t>B 737-400</t>
  </si>
  <si>
    <t>B 747-400</t>
  </si>
  <si>
    <t>B 757</t>
  </si>
  <si>
    <t>B 767-300</t>
  </si>
  <si>
    <t>B 777</t>
  </si>
  <si>
    <t>MD82</t>
  </si>
  <si>
    <t>Passenger value of time</t>
  </si>
  <si>
    <t>Cancellation cost</t>
  </si>
  <si>
    <t>Diversion cost</t>
  </si>
  <si>
    <t>Value of avoided fatality</t>
  </si>
  <si>
    <t>Value [1]:</t>
  </si>
  <si>
    <t>Business</t>
  </si>
  <si>
    <t>Source [1]:</t>
  </si>
  <si>
    <t xml:space="preserve">€ 40 - € 52 per hour per passenger (Adjusted from 1999 prices) </t>
  </si>
  <si>
    <t>Value [2]:</t>
  </si>
  <si>
    <t>Private Travel</t>
  </si>
  <si>
    <t>Business Travel</t>
  </si>
  <si>
    <t>Travel time</t>
  </si>
  <si>
    <t>Waiting time between departures</t>
  </si>
  <si>
    <t>Value [3]:</t>
  </si>
  <si>
    <t>Air Carrier</t>
  </si>
  <si>
    <t>General Aviation</t>
  </si>
  <si>
    <t>Personal</t>
  </si>
  <si>
    <t>All purposes</t>
  </si>
  <si>
    <t>VOT per hour (€)</t>
  </si>
  <si>
    <t>Purpose</t>
  </si>
  <si>
    <t>Low</t>
  </si>
  <si>
    <t>High</t>
  </si>
  <si>
    <t>Personal convenience</t>
  </si>
  <si>
    <t>Tourism</t>
  </si>
  <si>
    <t>Average</t>
  </si>
  <si>
    <t>(cost per hour)</t>
  </si>
  <si>
    <t>Typical values are:</t>
  </si>
  <si>
    <t>Regional flights</t>
  </si>
  <si>
    <t>Continental flights</t>
  </si>
  <si>
    <t>Intercontinental flights</t>
  </si>
  <si>
    <t>Time lost (min)</t>
  </si>
  <si>
    <t>Cost/min (€)</t>
  </si>
  <si>
    <t>No of passengers</t>
  </si>
  <si>
    <t>Cost/pax/hr (€)</t>
  </si>
  <si>
    <t>Total (€)</t>
  </si>
  <si>
    <t>Value:</t>
  </si>
  <si>
    <t>Exchange rates</t>
  </si>
  <si>
    <t>50 seat narrow body aircraft</t>
  </si>
  <si>
    <t>120 seat narrow body aircraft</t>
  </si>
  <si>
    <t>400 seat wide body aircraft</t>
  </si>
  <si>
    <t>€ 6,680 per cancellation</t>
  </si>
  <si>
    <t>€ 4,760 per diversion</t>
  </si>
  <si>
    <t>Major injury</t>
  </si>
  <si>
    <t>Minor injury</t>
  </si>
  <si>
    <t>Source:</t>
  </si>
  <si>
    <t>million</t>
  </si>
  <si>
    <t>Annual average inflation values</t>
  </si>
  <si>
    <t>Year</t>
  </si>
  <si>
    <t>Index</t>
  </si>
  <si>
    <t>Rate</t>
  </si>
  <si>
    <t>2007 to current year</t>
  </si>
  <si>
    <t>2008 to current year</t>
  </si>
  <si>
    <t>2009 to current year</t>
  </si>
  <si>
    <t>2010 to current year</t>
  </si>
  <si>
    <t>2011 to current year</t>
  </si>
  <si>
    <t>2012 to current year</t>
  </si>
  <si>
    <t>2013 to current year</t>
  </si>
  <si>
    <t>index</t>
  </si>
  <si>
    <t>factor06</t>
  </si>
  <si>
    <t>factor07</t>
  </si>
  <si>
    <t>factor08</t>
  </si>
  <si>
    <t>factor09</t>
  </si>
  <si>
    <t>factor10</t>
  </si>
  <si>
    <t>factor11</t>
  </si>
  <si>
    <t>factor12</t>
  </si>
  <si>
    <t>factor13</t>
  </si>
  <si>
    <t>source</t>
  </si>
  <si>
    <t>SESAR evaluation team 2006</t>
  </si>
  <si>
    <t>EGNOS CBA</t>
  </si>
  <si>
    <t>1999 to current year</t>
  </si>
  <si>
    <t>2000 to current year</t>
  </si>
  <si>
    <t>2001 to current year</t>
  </si>
  <si>
    <t>2002 to current year</t>
  </si>
  <si>
    <t>2003 to current year</t>
  </si>
  <si>
    <t>2004 to current year</t>
  </si>
  <si>
    <t>2005 to current year</t>
  </si>
  <si>
    <t>1996 to current year</t>
  </si>
  <si>
    <t>1997 to current year</t>
  </si>
  <si>
    <t>1998 to current year</t>
  </si>
  <si>
    <t>factor04</t>
  </si>
  <si>
    <t>factor05</t>
  </si>
  <si>
    <t>factor03</t>
  </si>
  <si>
    <t>factor99</t>
  </si>
  <si>
    <t xml:space="preserve">Reommended Value </t>
  </si>
  <si>
    <t>Recommended Value:</t>
  </si>
  <si>
    <t>Other Value:</t>
  </si>
  <si>
    <t>US$:</t>
  </si>
  <si>
    <t>in €</t>
  </si>
  <si>
    <t>Flight Operations</t>
  </si>
  <si>
    <t>Flight Ops. $/AC[1]</t>
  </si>
  <si>
    <t>Flight Ops. $/FH</t>
  </si>
  <si>
    <t>Flight Ops. $/FC</t>
  </si>
  <si>
    <t>Flight Ops. $/ASK</t>
  </si>
  <si>
    <t>Flight Ops. $/ATK</t>
  </si>
  <si>
    <t>Flight Ops./
Aircraft</t>
  </si>
  <si>
    <t>Flight Ops. /Flight Hour</t>
  </si>
  <si>
    <t>Flight Ops. Flight Cycle</t>
  </si>
  <si>
    <t>Flight Ops. /ASK</t>
  </si>
  <si>
    <t>(US Cents)</t>
  </si>
  <si>
    <t>(€ Cents)</t>
  </si>
  <si>
    <t>(e Cents)</t>
  </si>
  <si>
    <t>B737 NG</t>
  </si>
  <si>
    <t>10.4 mil</t>
  </si>
  <si>
    <t>A320 Family</t>
  </si>
  <si>
    <t>11.3 mil</t>
  </si>
  <si>
    <t>B737 Classic</t>
  </si>
  <si>
    <t>B777</t>
  </si>
  <si>
    <t>37.9 mil</t>
  </si>
  <si>
    <t>A330</t>
  </si>
  <si>
    <t>26.3 mil</t>
  </si>
  <si>
    <t>B747</t>
  </si>
  <si>
    <t>33.6 mil</t>
  </si>
  <si>
    <t>A340</t>
  </si>
  <si>
    <t>37.8 mil</t>
  </si>
  <si>
    <t>B767</t>
  </si>
  <si>
    <t>A380</t>
  </si>
  <si>
    <t>48.1 mil</t>
  </si>
  <si>
    <t>Regional Jet*</t>
  </si>
  <si>
    <t>6.9 mil</t>
  </si>
  <si>
    <t xml:space="preserve">ASK: Available Seat Kilometre </t>
  </si>
  <si>
    <t>ATK: Available Ton Kilometre</t>
  </si>
  <si>
    <t>http://www.iata.org/whatwedo/workgroups/Documents/acc-2013-gva/0930-1015_AOCTF_FY2012_Report_FERJAN.pdf</t>
  </si>
  <si>
    <t>Table value € 2013</t>
  </si>
  <si>
    <t>not updated as 2014 index  not available - Sept 2014</t>
  </si>
  <si>
    <t>factor98</t>
  </si>
  <si>
    <t>factor00</t>
  </si>
  <si>
    <t>factor01</t>
  </si>
  <si>
    <t>factor02</t>
  </si>
  <si>
    <t>factor96</t>
  </si>
  <si>
    <t>factor97</t>
  </si>
  <si>
    <t>Value [1] (adjusted from 1999 prices):</t>
  </si>
  <si>
    <t>Value [2] (adjusted from 1998 prices)</t>
  </si>
  <si>
    <t>2014 to current year</t>
  </si>
  <si>
    <t>factor14</t>
  </si>
  <si>
    <t>Noise levels Lden in dB(A)</t>
  </si>
  <si>
    <t>55-59</t>
  </si>
  <si>
    <t>60-64</t>
  </si>
  <si>
    <t>65-69</t>
  </si>
  <si>
    <t>70-74</t>
  </si>
  <si>
    <t>75-79</t>
  </si>
  <si>
    <t>United Kingdom</t>
  </si>
  <si>
    <t xml:space="preserve">2008 values </t>
  </si>
  <si>
    <t>http://www.cedelft.eu/publicatie/external_costs_of_transport_in_europe/1258</t>
  </si>
  <si>
    <t>indexed</t>
  </si>
  <si>
    <t>from 2008</t>
  </si>
  <si>
    <t>Cat.</t>
  </si>
  <si>
    <t>Heathrow</t>
  </si>
  <si>
    <t>Schiphol</t>
  </si>
  <si>
    <t>Gatwick</t>
  </si>
  <si>
    <t>Stansted</t>
  </si>
  <si>
    <t>Maastricht</t>
  </si>
  <si>
    <t>Jetstream 31</t>
  </si>
  <si>
    <t>B737-300</t>
  </si>
  <si>
    <t>A310-203</t>
  </si>
  <si>
    <t>B747-400</t>
  </si>
  <si>
    <t>B747-100F/200/300</t>
  </si>
  <si>
    <t>B737-200QN</t>
  </si>
  <si>
    <t>B727</t>
  </si>
  <si>
    <t xml:space="preserve">indexed from </t>
  </si>
  <si>
    <t xml:space="preserve">2001 €/landing </t>
  </si>
  <si>
    <t>https://dspace.lib.cranfield.ac.uk/bitstream/1826/3151/1/Determination%20and%20Applications%20of%20Environmental%20Costs%20at%20Different%20Sized%20Airports-2006.pdf</t>
  </si>
  <si>
    <t>UNITE VSL</t>
  </si>
  <si>
    <t>2.09</t>
  </si>
  <si>
    <t>2.31</t>
  </si>
  <si>
    <t>0.55</t>
  </si>
  <si>
    <t>2.30</t>
  </si>
  <si>
    <t>0.71</t>
  </si>
  <si>
    <t>2.46</t>
  </si>
  <si>
    <t>Estonia</t>
  </si>
  <si>
    <t>n/a</t>
  </si>
  <si>
    <t>0.87</t>
  </si>
  <si>
    <t>1.23</t>
  </si>
  <si>
    <t>2.11</t>
  </si>
  <si>
    <t>0.84</t>
  </si>
  <si>
    <t>2.04</t>
  </si>
  <si>
    <t>1.20</t>
  </si>
  <si>
    <t>2.23</t>
  </si>
  <si>
    <t>Greece</t>
  </si>
  <si>
    <t>0.20</t>
  </si>
  <si>
    <t>1.36</t>
  </si>
  <si>
    <t>Hungary</t>
  </si>
  <si>
    <t>1.02</t>
  </si>
  <si>
    <t>1.43</t>
  </si>
  <si>
    <t>2.24</t>
  </si>
  <si>
    <t>2.08</t>
  </si>
  <si>
    <t>3.634</t>
  </si>
  <si>
    <t>0.18</t>
  </si>
  <si>
    <t>2.33</t>
  </si>
  <si>
    <t>2.06</t>
  </si>
  <si>
    <t>2.65</t>
  </si>
  <si>
    <t>0.04</t>
  </si>
  <si>
    <t>1.54</t>
  </si>
  <si>
    <t>0.07</t>
  </si>
  <si>
    <t>1.65</t>
  </si>
  <si>
    <t>Sweden</t>
  </si>
  <si>
    <t>2.10</t>
  </si>
  <si>
    <t>Switzerland</t>
  </si>
  <si>
    <t>2.50</t>
  </si>
  <si>
    <t>A310</t>
  </si>
  <si>
    <t>B737-400</t>
  </si>
  <si>
    <t>B757</t>
  </si>
  <si>
    <t>B767-300</t>
  </si>
  <si>
    <t>from £2000 to £2007</t>
  </si>
  <si>
    <t>from £2007 to £2014</t>
  </si>
  <si>
    <t xml:space="preserve">1£ = </t>
  </si>
  <si>
    <t>£</t>
  </si>
  <si>
    <t>http://www.usinflationcalculator.com/</t>
  </si>
  <si>
    <t>Business Aviation</t>
  </si>
  <si>
    <t>2012 price</t>
  </si>
  <si>
    <t>2006 price</t>
  </si>
  <si>
    <t>€ / hour</t>
  </si>
  <si>
    <t>U.S. Department of Transportation</t>
  </si>
  <si>
    <t>International flight[1]</t>
  </si>
  <si>
    <t>Domestic flight</t>
  </si>
  <si>
    <t>Consumer benefits per flight</t>
  </si>
  <si>
    <t>Airline benefits per flight (excluding fuel and labour)</t>
  </si>
  <si>
    <t>Other producer benefits[2] per flight (excluding fuel and labour)</t>
  </si>
  <si>
    <t>Wider economic</t>
  </si>
  <si>
    <t>For a 10% rise in connectivity, long term labour productivity levels improved by 0.07%</t>
  </si>
  <si>
    <t>Vienna International Airport</t>
  </si>
  <si>
    <t>10.8</t>
  </si>
  <si>
    <t>Brussels National Airport</t>
  </si>
  <si>
    <t>59.1</t>
  </si>
  <si>
    <t>Prague Ruzyně International Airport</t>
  </si>
  <si>
    <t>3.3</t>
  </si>
  <si>
    <t>Billund Airport</t>
  </si>
  <si>
    <t>0.7</t>
  </si>
  <si>
    <t>Roskilde Airport</t>
  </si>
  <si>
    <t>0.5</t>
  </si>
  <si>
    <t>Copenhagen Airport</t>
  </si>
  <si>
    <t>1.2</t>
  </si>
  <si>
    <t>5.8</t>
  </si>
  <si>
    <t>Airport</t>
  </si>
  <si>
    <t>Population outside agglomerations</t>
  </si>
  <si>
    <t>All population exposed  to noise</t>
  </si>
  <si>
    <t>14.8</t>
  </si>
  <si>
    <t>76.9</t>
  </si>
  <si>
    <t>Czech Republic</t>
  </si>
  <si>
    <t>4.2</t>
  </si>
  <si>
    <t>0.9</t>
  </si>
  <si>
    <t>Helsinki Vantaa Airport</t>
  </si>
  <si>
    <t>0.1</t>
  </si>
  <si>
    <t>0.2</t>
  </si>
  <si>
    <t>Lyon Saint Exupery Airport</t>
  </si>
  <si>
    <t>7.3</t>
  </si>
  <si>
    <t>10.5</t>
  </si>
  <si>
    <t>Paris Charles de Gaulle Airport</t>
  </si>
  <si>
    <t>66.3</t>
  </si>
  <si>
    <t>110.6</t>
  </si>
  <si>
    <t>Paris Orly Airport</t>
  </si>
  <si>
    <t>2.8</t>
  </si>
  <si>
    <t>221.3</t>
  </si>
  <si>
    <t>EuroAirport Basel-Mulhouse-Freiburg</t>
  </si>
  <si>
    <t>2.4</t>
  </si>
  <si>
    <t>3.5</t>
  </si>
  <si>
    <t>Hannover Langenhagen Airport</t>
  </si>
  <si>
    <t>95.7</t>
  </si>
  <si>
    <t>115.8</t>
  </si>
  <si>
    <t>Nürnberg Airport</t>
  </si>
  <si>
    <t>5.1</t>
  </si>
  <si>
    <t>57.8</t>
  </si>
  <si>
    <t>Stuttgart Airport</t>
  </si>
  <si>
    <t>78.1</t>
  </si>
  <si>
    <t>101.3</t>
  </si>
  <si>
    <t>Munich International Airport</t>
  </si>
  <si>
    <t>5.9</t>
  </si>
  <si>
    <t>7.6</t>
  </si>
  <si>
    <t>Hamburg Airport</t>
  </si>
  <si>
    <t>96.2</t>
  </si>
  <si>
    <t>124.1</t>
  </si>
  <si>
    <t>Frankfurt am Main Airport</t>
  </si>
  <si>
    <t>136.3</t>
  </si>
  <si>
    <t>180.7</t>
  </si>
  <si>
    <t>Berlin Tegel Airport</t>
  </si>
  <si>
    <t>702.2</t>
  </si>
  <si>
    <t>Athens International Airport</t>
  </si>
  <si>
    <t>11.0</t>
  </si>
  <si>
    <t>0.0</t>
  </si>
  <si>
    <t>Budapest Ferihegy International Airport</t>
  </si>
  <si>
    <t>12.0</t>
  </si>
  <si>
    <t>259.6</t>
  </si>
  <si>
    <t>Bergamo Orio al Serio Airport</t>
  </si>
  <si>
    <t>182.8</t>
  </si>
  <si>
    <t>234.3</t>
  </si>
  <si>
    <t>Milan Linate Airport</t>
  </si>
  <si>
    <t>187.7</t>
  </si>
  <si>
    <t>233.3</t>
  </si>
  <si>
    <t>Milan Malpensa International Airport</t>
  </si>
  <si>
    <t>36.2</t>
  </si>
  <si>
    <t>43.8</t>
  </si>
  <si>
    <t>Naples International Airport</t>
  </si>
  <si>
    <t>85.2</t>
  </si>
  <si>
    <t>385.5</t>
  </si>
  <si>
    <t>Roma Fiumicino - Leonardo da Vinci Airport</t>
  </si>
  <si>
    <t>26.9</t>
  </si>
  <si>
    <t>34.9</t>
  </si>
  <si>
    <t>Turin International Airport</t>
  </si>
  <si>
    <t>32.7</t>
  </si>
  <si>
    <t>50.7</t>
  </si>
  <si>
    <t>Luxembourg International Airport</t>
  </si>
  <si>
    <t>249.3</t>
  </si>
  <si>
    <t>284.9</t>
  </si>
  <si>
    <t>Amsterdam Schipol Airport</t>
  </si>
  <si>
    <t>0.6</t>
  </si>
  <si>
    <t>38.8</t>
  </si>
  <si>
    <t>Poland</t>
  </si>
  <si>
    <t>Warszaw F.Chopin Airport</t>
  </si>
  <si>
    <t>4.1</t>
  </si>
  <si>
    <t>27.1</t>
  </si>
  <si>
    <t>Lisbon Airport</t>
  </si>
  <si>
    <t>205.3</t>
  </si>
  <si>
    <t>Gran Canaria Airport</t>
  </si>
  <si>
    <t>8.2</t>
  </si>
  <si>
    <t>10.2</t>
  </si>
  <si>
    <t>Madrid Barajas Airport</t>
  </si>
  <si>
    <t>19.7</t>
  </si>
  <si>
    <t>28.3</t>
  </si>
  <si>
    <t>Málaga Airport</t>
  </si>
  <si>
    <t>1.4</t>
  </si>
  <si>
    <t>17.2</t>
  </si>
  <si>
    <t>Alicante Airport</t>
  </si>
  <si>
    <t>23.7</t>
  </si>
  <si>
    <t>37.9</t>
  </si>
  <si>
    <t>Barcelona International Airport</t>
  </si>
  <si>
    <t>6.5</t>
  </si>
  <si>
    <t>Tenerife Sur Airport</t>
  </si>
  <si>
    <t>33.4</t>
  </si>
  <si>
    <t>46.6</t>
  </si>
  <si>
    <t>Palma de Mallorca Airport</t>
  </si>
  <si>
    <t>16.8</t>
  </si>
  <si>
    <t>Tenerife Norte Airport</t>
  </si>
  <si>
    <t>71.3</t>
  </si>
  <si>
    <t>90.8</t>
  </si>
  <si>
    <t>Bilbao Airport</t>
  </si>
  <si>
    <t>44.6</t>
  </si>
  <si>
    <t>53.7</t>
  </si>
  <si>
    <t>València Airport</t>
  </si>
  <si>
    <t>100.7</t>
  </si>
  <si>
    <t>170.4</t>
  </si>
  <si>
    <t>Göteborg-Landvetter Airport</t>
  </si>
  <si>
    <t>1.6</t>
  </si>
  <si>
    <t>1.9</t>
  </si>
  <si>
    <t>Stockholm-Arlanda Airport</t>
  </si>
  <si>
    <t>1.7</t>
  </si>
  <si>
    <t>London Stansted Airport</t>
  </si>
  <si>
    <t>19.6</t>
  </si>
  <si>
    <t>Southampton Airport</t>
  </si>
  <si>
    <t>82.3</t>
  </si>
  <si>
    <t>Aberdeen Airport</t>
  </si>
  <si>
    <t>52.9</t>
  </si>
  <si>
    <t>66.4</t>
  </si>
  <si>
    <t>Edinburgh Airport</t>
  </si>
  <si>
    <t>19.5</t>
  </si>
  <si>
    <t>39.4</t>
  </si>
  <si>
    <t>Glasgow Prestwick International Airport</t>
  </si>
  <si>
    <t>33.1</t>
  </si>
  <si>
    <t>37.2</t>
  </si>
  <si>
    <t>Newcastle Airport</t>
  </si>
  <si>
    <t>23.1</t>
  </si>
  <si>
    <t>28.6</t>
  </si>
  <si>
    <t>London Luton Airport</t>
  </si>
  <si>
    <t>28.4</t>
  </si>
  <si>
    <t>35.0</t>
  </si>
  <si>
    <t>Leeds Bradford International Airport</t>
  </si>
  <si>
    <t>London Gatwick Airport</t>
  </si>
  <si>
    <t>15.2</t>
  </si>
  <si>
    <t>19.3</t>
  </si>
  <si>
    <t>Liverpool John Lennon Airport</t>
  </si>
  <si>
    <t>12.8</t>
  </si>
  <si>
    <t>26.5</t>
  </si>
  <si>
    <t>Birmingham International Airport</t>
  </si>
  <si>
    <t>2.0</t>
  </si>
  <si>
    <t>160.9</t>
  </si>
  <si>
    <t>Bournemouth Airport</t>
  </si>
  <si>
    <t>Bristol International Airport</t>
  </si>
  <si>
    <t>15.3</t>
  </si>
  <si>
    <t>Nottingham East Midlands Airport</t>
  </si>
  <si>
    <t>44.3</t>
  </si>
  <si>
    <t>59.6</t>
  </si>
  <si>
    <t>Manchester International Airport</t>
  </si>
  <si>
    <t>169.3</t>
  </si>
  <si>
    <t>Belfast International Airport</t>
  </si>
  <si>
    <t>3.1</t>
  </si>
  <si>
    <t>4.0</t>
  </si>
  <si>
    <t>London Heathrow Airport</t>
  </si>
  <si>
    <t>70.6</t>
  </si>
  <si>
    <t>652.1</t>
  </si>
  <si>
    <t>Table 30: Average noise costs of major airports, € (2010) per LTO.</t>
  </si>
  <si>
    <t>UK</t>
  </si>
  <si>
    <t>FR_factor96</t>
  </si>
  <si>
    <t>DE_factor96</t>
  </si>
  <si>
    <t>IT_factor96</t>
  </si>
  <si>
    <t>SP_factor96</t>
  </si>
  <si>
    <t>UK_factor96</t>
  </si>
  <si>
    <t>NL_factor96</t>
  </si>
  <si>
    <t>FR_factor97</t>
  </si>
  <si>
    <t>FR_factor98</t>
  </si>
  <si>
    <t>FR_factor99</t>
  </si>
  <si>
    <t>FR_factor00</t>
  </si>
  <si>
    <t>FR_factor01</t>
  </si>
  <si>
    <t>FR_factor02</t>
  </si>
  <si>
    <t>FR_factor03</t>
  </si>
  <si>
    <t>FR_factor04</t>
  </si>
  <si>
    <t>FR_factor05</t>
  </si>
  <si>
    <t>FR_factor06</t>
  </si>
  <si>
    <t>FR_factor07</t>
  </si>
  <si>
    <t>FR_factor08</t>
  </si>
  <si>
    <t>FR_factor09</t>
  </si>
  <si>
    <t>FR_factor10</t>
  </si>
  <si>
    <t>FR_factor11</t>
  </si>
  <si>
    <t>FR_factor12</t>
  </si>
  <si>
    <t>FR_factor13</t>
  </si>
  <si>
    <t>FR_factor14</t>
  </si>
  <si>
    <t>DE_factor97</t>
  </si>
  <si>
    <t>DE_factor98</t>
  </si>
  <si>
    <t>DE_factor99</t>
  </si>
  <si>
    <t>DE_factor00</t>
  </si>
  <si>
    <t>DE_factor01</t>
  </si>
  <si>
    <t>DE_factor02</t>
  </si>
  <si>
    <t>DE_factor03</t>
  </si>
  <si>
    <t>DE_factor04</t>
  </si>
  <si>
    <t>DE_factor05</t>
  </si>
  <si>
    <t>DE_factor06</t>
  </si>
  <si>
    <t>DE_factor07</t>
  </si>
  <si>
    <t>DE_factor08</t>
  </si>
  <si>
    <t>DE_factor09</t>
  </si>
  <si>
    <t>DE_factor10</t>
  </si>
  <si>
    <t>DE_factor11</t>
  </si>
  <si>
    <t>DE_factor12</t>
  </si>
  <si>
    <t>DE_factor13</t>
  </si>
  <si>
    <t>DE_factor14</t>
  </si>
  <si>
    <t>IT_factor97</t>
  </si>
  <si>
    <t>IT_factor98</t>
  </si>
  <si>
    <t>IT_factor99</t>
  </si>
  <si>
    <t>IT_factor00</t>
  </si>
  <si>
    <t>IT_factor01</t>
  </si>
  <si>
    <t>IT_factor02</t>
  </si>
  <si>
    <t>IT_factor03</t>
  </si>
  <si>
    <t>IT_factor04</t>
  </si>
  <si>
    <t>IT_factor05</t>
  </si>
  <si>
    <t>IT_factor06</t>
  </si>
  <si>
    <t>IT_factor07</t>
  </si>
  <si>
    <t>IT_factor08</t>
  </si>
  <si>
    <t>IT_factor09</t>
  </si>
  <si>
    <t>IT_factor10</t>
  </si>
  <si>
    <t>IT_factor11</t>
  </si>
  <si>
    <t>IT_factor12</t>
  </si>
  <si>
    <t>IT_factor13</t>
  </si>
  <si>
    <t>IT_factor14</t>
  </si>
  <si>
    <t>SP_factor97</t>
  </si>
  <si>
    <t>SP_factor98</t>
  </si>
  <si>
    <t>SP_factor99</t>
  </si>
  <si>
    <t>SP_factor00</t>
  </si>
  <si>
    <t>SP_factor01</t>
  </si>
  <si>
    <t>SP_factor02</t>
  </si>
  <si>
    <t>SP_factor03</t>
  </si>
  <si>
    <t>SP_factor04</t>
  </si>
  <si>
    <t>SP_factor05</t>
  </si>
  <si>
    <t>SP_factor06</t>
  </si>
  <si>
    <t>SP_factor07</t>
  </si>
  <si>
    <t>SP_factor08</t>
  </si>
  <si>
    <t>SP_factor09</t>
  </si>
  <si>
    <t>SP_factor10</t>
  </si>
  <si>
    <t>SP_factor11</t>
  </si>
  <si>
    <t>SP_factor12</t>
  </si>
  <si>
    <t>SP_factor13</t>
  </si>
  <si>
    <t>SP_factor14</t>
  </si>
  <si>
    <t>UK_factor97</t>
  </si>
  <si>
    <t>UK_factor98</t>
  </si>
  <si>
    <t>UK_factor99</t>
  </si>
  <si>
    <t>UK_factor00</t>
  </si>
  <si>
    <t>UK_factor01</t>
  </si>
  <si>
    <t>UK_factor02</t>
  </si>
  <si>
    <t>UK_factor03</t>
  </si>
  <si>
    <t>UK_factor04</t>
  </si>
  <si>
    <t>UK_factor05</t>
  </si>
  <si>
    <t>UK_factor06</t>
  </si>
  <si>
    <t>UK_factor07</t>
  </si>
  <si>
    <t>UK_factor08</t>
  </si>
  <si>
    <t>UK_factor09</t>
  </si>
  <si>
    <t>UK_factor10</t>
  </si>
  <si>
    <t>UK_factor11</t>
  </si>
  <si>
    <t>UK_factor12</t>
  </si>
  <si>
    <t>UK_factor13</t>
  </si>
  <si>
    <t>UK_factor14</t>
  </si>
  <si>
    <t>NL_factor97</t>
  </si>
  <si>
    <t>NL_factor98</t>
  </si>
  <si>
    <t>NL_factor99</t>
  </si>
  <si>
    <t>NL_factor00</t>
  </si>
  <si>
    <t>NL_factor01</t>
  </si>
  <si>
    <t>NL_factor02</t>
  </si>
  <si>
    <t>NL_factor03</t>
  </si>
  <si>
    <t>NL_factor04</t>
  </si>
  <si>
    <t>NL_factor05</t>
  </si>
  <si>
    <t>NL_factor06</t>
  </si>
  <si>
    <t>NL_factor07</t>
  </si>
  <si>
    <t>NL_factor08</t>
  </si>
  <si>
    <t>NL_factor09</t>
  </si>
  <si>
    <t>NL_factor10</t>
  </si>
  <si>
    <t>NL_factor11</t>
  </si>
  <si>
    <t>NL_factor12</t>
  </si>
  <si>
    <t>NL_factor13</t>
  </si>
  <si>
    <t>NL_factor14</t>
  </si>
  <si>
    <t>NMVOC</t>
  </si>
  <si>
    <t>Distance group</t>
  </si>
  <si>
    <t>Range</t>
  </si>
  <si>
    <t>Short haul</t>
  </si>
  <si>
    <t>Medium haul</t>
  </si>
  <si>
    <t>Fuel price</t>
  </si>
  <si>
    <t>value to be updated</t>
  </si>
  <si>
    <t>IATA refinery price</t>
  </si>
  <si>
    <t xml:space="preserve">Fuel cost </t>
  </si>
  <si>
    <t>value updated  (same as in  "Conversions, Inflation, Cost of Fuel and Exchange Rate")</t>
  </si>
  <si>
    <t>Average for 2010</t>
  </si>
  <si>
    <t>$/bbl</t>
  </si>
  <si>
    <t>$/gal</t>
  </si>
  <si>
    <t>Average for 2011</t>
  </si>
  <si>
    <t>http://www.iata.org/whatwedo/Documents/economics/Industry-Outlook-Dec2012.pdf</t>
  </si>
  <si>
    <t>(US$/bbl)</t>
  </si>
  <si>
    <t>(US$/US gallon)</t>
  </si>
  <si>
    <t>(US$/kg)</t>
  </si>
  <si>
    <t>(€/Kg)</t>
  </si>
  <si>
    <t>Average for 2012</t>
  </si>
  <si>
    <t>Low
(base-30%)</t>
  </si>
  <si>
    <t>Base</t>
  </si>
  <si>
    <t>High
(base+30%)</t>
  </si>
  <si>
    <t>Average for 2013</t>
  </si>
  <si>
    <t>Average for 2014</t>
  </si>
  <si>
    <t>http://www.iata.org/whatwedo/Documents/economics/IATA-economic-briefing-financial-forecast-March-2014.pdf</t>
  </si>
  <si>
    <t>http://www.iata.org/whatwedo/Documents/economics/Central-forecast-Dec-2014-Figures.pdf</t>
  </si>
  <si>
    <t>Average for 2015</t>
  </si>
  <si>
    <t>Exchange rates 1 US$ to €</t>
  </si>
  <si>
    <t>1 € to US$</t>
  </si>
  <si>
    <t>http://sdw.ecb.europa.eu/</t>
  </si>
  <si>
    <t>(go to Economic Concepts, Exchange rates, Bilateral)</t>
  </si>
  <si>
    <t>US$/bbl</t>
  </si>
  <si>
    <t>US$/US gallon</t>
  </si>
  <si>
    <t>€/Kg</t>
  </si>
  <si>
    <t>Conversion factors</t>
  </si>
  <si>
    <t>42 US gallons</t>
  </si>
  <si>
    <t>1 barrel =</t>
  </si>
  <si>
    <t>158.984 litres</t>
  </si>
  <si>
    <t>0.136 tonne (approx)</t>
  </si>
  <si>
    <t xml:space="preserve">1 tonne (metrics - 1000 kg) </t>
  </si>
  <si>
    <t>326 US gal of jet fuel</t>
  </si>
  <si>
    <t xml:space="preserve">1,235 l of jet fuel </t>
  </si>
  <si>
    <t>barrels</t>
  </si>
  <si>
    <t>1 barrel (bbl)</t>
  </si>
  <si>
    <t>US gallons</t>
  </si>
  <si>
    <t>litres of jet fuel</t>
  </si>
  <si>
    <t>ton = 128 kg</t>
  </si>
  <si>
    <t>1 US gallon of jet fuel (gal)</t>
  </si>
  <si>
    <t>liter</t>
  </si>
  <si>
    <t>kg</t>
  </si>
  <si>
    <t>lb</t>
  </si>
  <si>
    <t xml:space="preserve">Density of kerosene </t>
  </si>
  <si>
    <t>kg/litre</t>
  </si>
  <si>
    <t>1 litre of fuel (l)</t>
  </si>
  <si>
    <t>gal</t>
  </si>
  <si>
    <t>1 kilogramme of fuel (kg)</t>
  </si>
  <si>
    <t>1 pound of fuel (lb)</t>
  </si>
  <si>
    <t>Average for 2016</t>
  </si>
  <si>
    <t>Average for 2017</t>
  </si>
  <si>
    <t>Average for 2018</t>
  </si>
  <si>
    <t>http://www.iata.org/whatwedo/Documents/economics/Central-forecast-end-year-2016-tables.pdf</t>
  </si>
  <si>
    <t>Cost of Cancellation</t>
  </si>
  <si>
    <t>Narrowbody</t>
  </si>
  <si>
    <t>Widebody</t>
  </si>
  <si>
    <t>Traditional Network</t>
  </si>
  <si>
    <t>Carrier[1]</t>
  </si>
  <si>
    <t>Low Cost Carrier</t>
  </si>
  <si>
    <t>Traditional Network Carrier</t>
  </si>
  <si>
    <t>Seats</t>
  </si>
  <si>
    <t>Proposed value (€)</t>
  </si>
  <si>
    <t>of which passenger care &amp; compensation (€)</t>
  </si>
  <si>
    <t>[1] Traditional carrier estimates can be used for regional carriers.</t>
  </si>
  <si>
    <t>2015 to current year</t>
  </si>
  <si>
    <t>factor15</t>
  </si>
  <si>
    <t>value 2016 rounded</t>
  </si>
  <si>
    <t>System wide average cancellation cost</t>
  </si>
  <si>
    <t>2016 to current year</t>
  </si>
  <si>
    <t>factor16</t>
  </si>
  <si>
    <t>:</t>
  </si>
  <si>
    <t>FR_factor15</t>
  </si>
  <si>
    <t>FR_factor16</t>
  </si>
  <si>
    <t>DE_factor15</t>
  </si>
  <si>
    <t>DE_factor16</t>
  </si>
  <si>
    <t>IT_factor15</t>
  </si>
  <si>
    <t>IT_factor16</t>
  </si>
  <si>
    <t>SP_factor15</t>
  </si>
  <si>
    <t>SP_factor16</t>
  </si>
  <si>
    <t>UK_factor15</t>
  </si>
  <si>
    <t>UK_factor16</t>
  </si>
  <si>
    <t>NL_factor15</t>
  </si>
  <si>
    <t>NL_factor16</t>
  </si>
  <si>
    <t>US</t>
  </si>
  <si>
    <t>US_factor96</t>
  </si>
  <si>
    <t>US_factor97</t>
  </si>
  <si>
    <t>US_factor98</t>
  </si>
  <si>
    <t>US_factor99</t>
  </si>
  <si>
    <t>US_factor10</t>
  </si>
  <si>
    <t>US_factor00</t>
  </si>
  <si>
    <t>US_factor01</t>
  </si>
  <si>
    <t>US_factor02</t>
  </si>
  <si>
    <t>US_factor03</t>
  </si>
  <si>
    <t>US_factor04</t>
  </si>
  <si>
    <t>US_factor05</t>
  </si>
  <si>
    <t>US_factor06</t>
  </si>
  <si>
    <t>US_factor07</t>
  </si>
  <si>
    <t>US_factor08</t>
  </si>
  <si>
    <t>US_factor09</t>
  </si>
  <si>
    <t>US_factor11</t>
  </si>
  <si>
    <t>US_factor12</t>
  </si>
  <si>
    <t>US_factor13</t>
  </si>
  <si>
    <t>US_factor14</t>
  </si>
  <si>
    <t>US_factor15</t>
  </si>
  <si>
    <t>US_factor16</t>
  </si>
  <si>
    <t>http://www.usinflationcalculator.com/inflation/current-inflation-rates/</t>
  </si>
  <si>
    <t>US inflation to 2016</t>
  </si>
  <si>
    <t>indexFR</t>
  </si>
  <si>
    <t>indexUS</t>
  </si>
  <si>
    <t>indexDE</t>
  </si>
  <si>
    <t>indexIT</t>
  </si>
  <si>
    <t>indexSP</t>
  </si>
  <si>
    <t>indexUK</t>
  </si>
  <si>
    <t>indexNL</t>
  </si>
  <si>
    <t>EUROPE</t>
  </si>
  <si>
    <t>US $ 34.2 (€ 30.9)</t>
  </si>
  <si>
    <t>US $ 62.5 (€ 56.5)</t>
  </si>
  <si>
    <t>US $ 45.6 (€ 41.2)</t>
  </si>
  <si>
    <t>Value 2</t>
  </si>
  <si>
    <t>Per Hour[1]</t>
  </si>
  <si>
    <t>Personal-holiday</t>
  </si>
  <si>
    <t>[1] “International passengers include all departing international passengers from each member State and inbound passengers from non‑EU countries, with only origin‑destination passengers counted. Passengers transiting through the EU, with origins and destinations outside the EU, are not taken into account in this analysis. Flights between member States (between Germany and France) are considered as international flights whereas flights within a member State (from Spain to Spain) are classified as domestic flights. The assessment is based on scheduled passenger flights, including scheduled charter operations.”</t>
  </si>
  <si>
    <t>[2] Other producers along the air transport value chain are airports, ANSPs, manufacturers, lessors, GDS/CRSs, travel agents, ground services, catering, and maintenance.</t>
  </si>
  <si>
    <t>2016 values</t>
  </si>
  <si>
    <t>Per Hour</t>
  </si>
  <si>
    <t>Personal[1]</t>
  </si>
  <si>
    <t>US inflation since 2012 -&gt; 2016</t>
  </si>
  <si>
    <t>Table value € 2016</t>
  </si>
  <si>
    <t xml:space="preserve"> Xchange rate = 2014 unchanged</t>
  </si>
  <si>
    <t>in US $</t>
  </si>
  <si>
    <t>(US$ Cents)</t>
  </si>
  <si>
    <t>in US$</t>
  </si>
  <si>
    <t>Table value US$ 2012</t>
  </si>
  <si>
    <t>Change in noise metric by decibel (Db)                    (daytime noise metric)</t>
  </si>
  <si>
    <t xml:space="preserve">2014 values: https://www.gov.uk/guidance/noise-pollution-economic-analysis </t>
  </si>
  <si>
    <t>Delay cost per minute (€)</t>
  </si>
  <si>
    <t>Ground</t>
  </si>
  <si>
    <t>At-Gate</t>
  </si>
  <si>
    <t>Taxi in / out</t>
  </si>
  <si>
    <t>Airborne</t>
  </si>
  <si>
    <t>En-Route (Cruise extension)</t>
  </si>
  <si>
    <t>Arrival Management</t>
  </si>
  <si>
    <t>Aircraft type</t>
  </si>
  <si>
    <t>Delay (mins)</t>
  </si>
  <si>
    <t>At-gate</t>
  </si>
  <si>
    <t>Taxi</t>
  </si>
  <si>
    <t>Arrival Mgt</t>
  </si>
  <si>
    <t>B733</t>
  </si>
  <si>
    <t>B734</t>
  </si>
  <si>
    <t>B735</t>
  </si>
  <si>
    <t>B738</t>
  </si>
  <si>
    <t>B752</t>
  </si>
  <si>
    <t>B763</t>
  </si>
  <si>
    <t>B744</t>
  </si>
  <si>
    <t>A319</t>
  </si>
  <si>
    <t>A320</t>
  </si>
  <si>
    <t>A321</t>
  </si>
  <si>
    <t>AT43</t>
  </si>
  <si>
    <t>AT72</t>
  </si>
  <si>
    <t>DH8D</t>
  </si>
  <si>
    <t>E190</t>
  </si>
  <si>
    <t>A332</t>
  </si>
  <si>
    <t>En-Route</t>
  </si>
  <si>
    <t>Delay ranges (mins)</t>
  </si>
  <si>
    <t>En route</t>
  </si>
  <si>
    <t>Taxi in/out</t>
  </si>
  <si>
    <t>(Cruise extension)</t>
  </si>
  <si>
    <t xml:space="preserve">90% of delays 
(0 to 30 minutes)
</t>
  </si>
  <si>
    <t>all delays 
(up to 300 minutes)</t>
  </si>
  <si>
    <t>2017 to current year</t>
  </si>
  <si>
    <t>2018 to current year</t>
  </si>
  <si>
    <t>2019 to current year</t>
  </si>
  <si>
    <t>factor17</t>
  </si>
  <si>
    <t>factor18</t>
  </si>
  <si>
    <t>factor19</t>
  </si>
  <si>
    <t>year</t>
  </si>
  <si>
    <t>USD/Euro</t>
  </si>
  <si>
    <t>GBP/Euro</t>
  </si>
  <si>
    <t>US_factor17</t>
  </si>
  <si>
    <t>US_factor18</t>
  </si>
  <si>
    <t>US_factor19</t>
  </si>
  <si>
    <t>FR_factor17</t>
  </si>
  <si>
    <t>FR_factor18</t>
  </si>
  <si>
    <t>FR_factor19</t>
  </si>
  <si>
    <t>DE_factor17</t>
  </si>
  <si>
    <t>DE_factor18</t>
  </si>
  <si>
    <t>DE_factor19</t>
  </si>
  <si>
    <t>IT_factor17</t>
  </si>
  <si>
    <t>IT_factor18</t>
  </si>
  <si>
    <t>IT_factor19</t>
  </si>
  <si>
    <t>SP_factor17</t>
  </si>
  <si>
    <t>SP_factor18</t>
  </si>
  <si>
    <t>SP_factor19</t>
  </si>
  <si>
    <t>UK_factor17</t>
  </si>
  <si>
    <t>UK_factor18</t>
  </si>
  <si>
    <t>UK_factor19</t>
  </si>
  <si>
    <t>NL_factor17</t>
  </si>
  <si>
    <t>NL_factor18</t>
  </si>
  <si>
    <t>NL_factor19</t>
  </si>
  <si>
    <t>http://ec.europa.eu/eurostat</t>
  </si>
  <si>
    <t>table prc_hicp_aind</t>
  </si>
  <si>
    <t>EUROSTAT</t>
  </si>
  <si>
    <t>value 2019</t>
  </si>
  <si>
    <t>value 2019 rounded</t>
  </si>
  <si>
    <t>rounded</t>
  </si>
  <si>
    <t>2019 values</t>
  </si>
  <si>
    <t>5'</t>
  </si>
  <si>
    <t>15'</t>
  </si>
  <si>
    <t>30'</t>
  </si>
  <si>
    <r>
      <t>Delay (hour)</t>
    </r>
    <r>
      <rPr>
        <sz val="9"/>
        <color rgb="FF262626"/>
        <rFont val="Arial"/>
        <family val="2"/>
      </rPr>
      <t>  </t>
    </r>
  </si>
  <si>
    <r>
      <t>En route</t>
    </r>
    <r>
      <rPr>
        <sz val="9"/>
        <color rgb="FF262626"/>
        <rFont val="Arial"/>
        <family val="2"/>
      </rPr>
      <t>  </t>
    </r>
  </si>
  <si>
    <r>
      <t xml:space="preserve">Vilma Deltuvaitė/ORO NAVIGACIJA (ON (B4)) </t>
    </r>
    <r>
      <rPr>
        <sz val="10"/>
        <color indexed="22"/>
        <rFont val="Arial"/>
        <family val="2"/>
      </rPr>
      <t>deltuvaite.v@ans.lt</t>
    </r>
  </si>
  <si>
    <t>Total Aircraft (excluding sleep disturbance) in€ (2019 prices)</t>
  </si>
  <si>
    <t xml:space="preserve"> Sleep disturbance) in€ (2019 prices)</t>
  </si>
  <si>
    <t>Annoyance</t>
  </si>
  <si>
    <t>Health</t>
  </si>
  <si>
    <t>Total</t>
  </si>
  <si>
    <t>50‑54</t>
  </si>
  <si>
    <t>55‑59</t>
  </si>
  <si>
    <t>60‑64</t>
  </si>
  <si>
    <t>65‑69</t>
  </si>
  <si>
    <t>70‑74</t>
  </si>
  <si>
    <t>≥ 75</t>
  </si>
  <si>
    <r>
      <t>Noise levels L</t>
    </r>
    <r>
      <rPr>
        <b/>
        <vertAlign val="subscript"/>
        <sz val="10"/>
        <color rgb="FF000000"/>
        <rFont val="Arial"/>
        <family val="2"/>
      </rPr>
      <t xml:space="preserve">den </t>
    </r>
    <r>
      <rPr>
        <b/>
        <sz val="10"/>
        <color rgb="FF000000"/>
        <rFont val="Arial"/>
        <family val="2"/>
      </rPr>
      <t>in dB(A</t>
    </r>
  </si>
  <si>
    <t xml:space="preserve">Environmental price of aviation traffic noise for the EU28 for different noise levels </t>
  </si>
  <si>
    <t>“Handbook on the external costs of transport”, CE Delft, January 2019 (commissioned by European Union DG Move), tables 33 and 36</t>
  </si>
  <si>
    <t xml:space="preserve">https://ec.europa.eu/transport/sites/transport/files/studies/internalisation-handbook-isbn-978-92-79-96917-1.pdf </t>
  </si>
  <si>
    <r>
      <t>(EU28 in €2016 per person per dB, L</t>
    </r>
    <r>
      <rPr>
        <vertAlign val="subscript"/>
        <sz val="10"/>
        <rFont val="Arial"/>
        <family val="2"/>
      </rPr>
      <t>den</t>
    </r>
  </si>
  <si>
    <t>in €2019</t>
  </si>
  <si>
    <t>€’000/year</t>
  </si>
  <si>
    <t>€ cent/km</t>
  </si>
  <si>
    <t>Short-haul</t>
  </si>
  <si>
    <t>&lt; 1 500 km</t>
  </si>
  <si>
    <t>Medium-haul</t>
  </si>
  <si>
    <t>&lt; 1 500-5 000 km</t>
  </si>
  <si>
    <t>Long-haul</t>
  </si>
  <si>
    <t>&gt; 5 000 km</t>
  </si>
  <si>
    <t>€ cent/pax (complete flight)</t>
  </si>
  <si>
    <r>
      <rPr>
        <b/>
        <sz val="8"/>
        <rFont val="Trebuchet MS"/>
        <family val="2"/>
      </rPr>
      <t>Type of flight</t>
    </r>
  </si>
  <si>
    <r>
      <rPr>
        <b/>
        <sz val="8"/>
        <rFont val="Trebuchet MS"/>
        <family val="2"/>
      </rPr>
      <t xml:space="preserve">Distance
</t>
    </r>
    <r>
      <rPr>
        <b/>
        <sz val="8"/>
        <rFont val="Trebuchet MS"/>
        <family val="2"/>
      </rPr>
      <t>[km]</t>
    </r>
  </si>
  <si>
    <r>
      <rPr>
        <b/>
        <sz val="8"/>
        <rFont val="Trebuchet MS"/>
        <family val="2"/>
      </rPr>
      <t xml:space="preserve">Emission
</t>
    </r>
    <r>
      <rPr>
        <b/>
        <sz val="8"/>
        <rFont val="Trebuchet MS"/>
        <family val="2"/>
      </rPr>
      <t>class</t>
    </r>
  </si>
  <si>
    <r>
      <rPr>
        <b/>
        <sz val="8"/>
        <rFont val="Trebuchet MS"/>
        <family val="2"/>
      </rPr>
      <t xml:space="preserve">Example of aircraft
</t>
    </r>
    <r>
      <rPr>
        <b/>
        <sz val="8"/>
        <rFont val="Trebuchet MS"/>
        <family val="2"/>
      </rPr>
      <t>type</t>
    </r>
  </si>
  <si>
    <r>
      <rPr>
        <b/>
        <sz val="8"/>
        <rFont val="Trebuchet MS"/>
        <family val="2"/>
      </rPr>
      <t xml:space="preserve">€ per
</t>
    </r>
    <r>
      <rPr>
        <b/>
        <sz val="8"/>
        <rFont val="Trebuchet MS"/>
        <family val="2"/>
      </rPr>
      <t>LTO*</t>
    </r>
  </si>
  <si>
    <r>
      <rPr>
        <b/>
        <sz val="8"/>
        <rFont val="Trebuchet MS"/>
        <family val="2"/>
      </rPr>
      <t xml:space="preserve">€-cent per
</t>
    </r>
    <r>
      <rPr>
        <b/>
        <sz val="8"/>
        <rFont val="Trebuchet MS"/>
        <family val="2"/>
      </rPr>
      <t>pkm*</t>
    </r>
  </si>
  <si>
    <r>
      <rPr>
        <b/>
        <sz val="8"/>
        <rFont val="Trebuchet MS"/>
        <family val="2"/>
      </rPr>
      <t>€ per pax*</t>
    </r>
  </si>
  <si>
    <r>
      <rPr>
        <sz val="8"/>
        <rFont val="Trebuchet MS"/>
        <family val="2"/>
      </rPr>
      <t>Short haul</t>
    </r>
  </si>
  <si>
    <r>
      <rPr>
        <sz val="8"/>
        <rFont val="Trebuchet MS"/>
        <family val="2"/>
      </rPr>
      <t>Low</t>
    </r>
  </si>
  <si>
    <r>
      <rPr>
        <sz val="8"/>
        <rFont val="Trebuchet MS"/>
        <family val="2"/>
      </rPr>
      <t>Bombardier CRJ900</t>
    </r>
  </si>
  <si>
    <r>
      <rPr>
        <sz val="8"/>
        <rFont val="Trebuchet MS"/>
        <family val="2"/>
      </rPr>
      <t>High</t>
    </r>
  </si>
  <si>
    <r>
      <rPr>
        <sz val="8"/>
        <rFont val="Trebuchet MS"/>
        <family val="2"/>
      </rPr>
      <t>Embraer 170</t>
    </r>
  </si>
  <si>
    <r>
      <rPr>
        <sz val="8"/>
        <rFont val="Trebuchet MS"/>
        <family val="2"/>
      </rPr>
      <t>Medium haul</t>
    </r>
  </si>
  <si>
    <r>
      <rPr>
        <sz val="8"/>
        <rFont val="Trebuchet MS"/>
        <family val="2"/>
      </rPr>
      <t>Airbus 320</t>
    </r>
  </si>
  <si>
    <r>
      <rPr>
        <sz val="8"/>
        <rFont val="Trebuchet MS"/>
        <family val="2"/>
      </rPr>
      <t>Boeing 737</t>
    </r>
  </si>
  <si>
    <r>
      <rPr>
        <sz val="8"/>
        <rFont val="Trebuchet MS"/>
        <family val="2"/>
      </rPr>
      <t>Long haul</t>
    </r>
  </si>
  <si>
    <r>
      <rPr>
        <sz val="8"/>
        <rFont val="Trebuchet MS"/>
        <family val="2"/>
      </rPr>
      <t>Airbus 340</t>
    </r>
  </si>
  <si>
    <r>
      <rPr>
        <sz val="8"/>
        <rFont val="Trebuchet MS"/>
        <family val="2"/>
      </rPr>
      <t>Boeing 777</t>
    </r>
  </si>
  <si>
    <t>Total Costs</t>
  </si>
  <si>
    <t>Average Costs</t>
  </si>
  <si>
    <t>Billion €</t>
  </si>
  <si>
    <t>€/LTO</t>
  </si>
  <si>
    <t>€/pax[1]</t>
  </si>
  <si>
    <t>€/tonne</t>
  </si>
  <si>
    <t>€cent /km</t>
  </si>
  <si>
    <t xml:space="preserve">Long haul </t>
  </si>
  <si>
    <t>[1] Costs per pax are including the complete flight (not only the half-way principle).</t>
  </si>
  <si>
    <t>Pollutant Emitted Aircraft</t>
  </si>
  <si>
    <t>Central Damage Cost (£/t)</t>
  </si>
  <si>
    <t>Low – high damage cost sensitivity range (£/t)</t>
  </si>
  <si>
    <t>Low (£/t)</t>
  </si>
  <si>
    <t>High (£/t)</t>
  </si>
  <si>
    <r>
      <t>PM</t>
    </r>
    <r>
      <rPr>
        <vertAlign val="subscript"/>
        <sz val="9"/>
        <rFont val="Arial"/>
        <family val="2"/>
      </rPr>
      <t>2.5</t>
    </r>
  </si>
  <si>
    <r>
      <t>NO</t>
    </r>
    <r>
      <rPr>
        <vertAlign val="subscript"/>
        <sz val="9"/>
        <rFont val="Arial"/>
        <family val="2"/>
      </rPr>
      <t>x</t>
    </r>
  </si>
  <si>
    <t>in Pounds</t>
  </si>
  <si>
    <t>in EURO</t>
  </si>
  <si>
    <t>VSL</t>
  </si>
  <si>
    <t>Median</t>
  </si>
  <si>
    <t>Mean</t>
  </si>
  <si>
    <t>https://ec.europa.eu/smart-regulation/impact/commission_guidelines/docs/iag_2009_annex_en.pdf</t>
  </si>
  <si>
    <t>“Handbook on the external costs of transport”, CE Delft, January 2019 (commissioned by European Union DG Move)</t>
  </si>
  <si>
    <t>https://www.cedelft.eu/en/publications/2311/handbook-on-the-external-costs-of-transport-version-2019</t>
  </si>
  <si>
    <t>European Commission (2009), “Part III: Annexes to Impact Assessment Guidelines”, 15 January 2009</t>
  </si>
  <si>
    <t>EU28 average</t>
  </si>
  <si>
    <t>Total Aircraft (excluding sleep disturbance GBP 2014)</t>
  </si>
  <si>
    <r>
      <t>Aviation sleep disturbance 
(GBP</t>
    </r>
    <r>
      <rPr>
        <b/>
        <sz val="10"/>
        <rFont val="Calibri"/>
        <family val="2"/>
      </rPr>
      <t xml:space="preserve"> 2014)</t>
    </r>
  </si>
  <si>
    <t>Total Aircraft (excluding sleep disturbance EUR€ 2019)</t>
  </si>
  <si>
    <t>sleep disturbance EUR€ 2019</t>
  </si>
  <si>
    <t>ExR_GBP_14</t>
  </si>
  <si>
    <t>ExR_GBP_15</t>
  </si>
  <si>
    <t>ExR_GBP_16</t>
  </si>
  <si>
    <t>ExR_GBP_17</t>
  </si>
  <si>
    <t>ExR_GBP_18</t>
  </si>
  <si>
    <t>ExR_GBP_19</t>
  </si>
  <si>
    <t>ExR_GBP_12</t>
  </si>
  <si>
    <t>ExR_GBP_13</t>
  </si>
  <si>
    <t>Personal-other</t>
  </si>
  <si>
    <t>in 2015€</t>
  </si>
  <si>
    <t>in FR €2019</t>
  </si>
  <si>
    <t>Leisure</t>
  </si>
  <si>
    <t>UK Business</t>
  </si>
  <si>
    <t>Foreign Business</t>
  </si>
  <si>
    <t xml:space="preserve">Values of time used to estimate passenger delay costs in the UK airport system (2014) Airports Commission – Economy: Delay Impacts Assessment Methodology Paper  </t>
  </si>
  <si>
    <t>https://assets.publishing.service.gov.uk/government/uploads/system/uploads/attachment_data/file/372606/AC08a_tagged.pdf</t>
  </si>
  <si>
    <t>`£ 2014</t>
  </si>
  <si>
    <t>£ 2019</t>
  </si>
  <si>
    <t>Air Employer’s Business (EB)</t>
  </si>
  <si>
    <t>Values of travel time in Europe: Review and meta-analysis – University of Leeds (2016) - Table 9</t>
  </si>
  <si>
    <t>http://eprints.whiterose.ac.uk/104595/1/European meta paper final accepted for publication.pdf</t>
  </si>
  <si>
    <t>in 2015 US$</t>
  </si>
  <si>
    <t xml:space="preserve">US$ 2015 / hour </t>
  </si>
  <si>
    <t>Total Aircraft (excluding sleep disturbance GBP 2019)</t>
  </si>
  <si>
    <t>sleep disturbance GBP 2019</t>
  </si>
  <si>
    <t>Forecast</t>
  </si>
  <si>
    <t>Low[1]</t>
  </si>
  <si>
    <t xml:space="preserve">Short-and-medium-run (up to 2030) </t>
  </si>
  <si>
    <t xml:space="preserve">Long run (from 2040 to 2060) </t>
  </si>
  <si>
    <t>Costs in € per kg</t>
  </si>
  <si>
    <r>
      <t>NO</t>
    </r>
    <r>
      <rPr>
        <b/>
        <vertAlign val="subscript"/>
        <sz val="9"/>
        <rFont val="Arial"/>
        <family val="2"/>
      </rPr>
      <t>x</t>
    </r>
  </si>
  <si>
    <r>
      <t>SO</t>
    </r>
    <r>
      <rPr>
        <b/>
        <vertAlign val="subscript"/>
        <sz val="9"/>
        <rFont val="Arial"/>
        <family val="2"/>
      </rPr>
      <t>2</t>
    </r>
  </si>
  <si>
    <r>
      <t>PM</t>
    </r>
    <r>
      <rPr>
        <b/>
        <vertAlign val="subscript"/>
        <sz val="9"/>
        <rFont val="Arial"/>
        <family val="2"/>
      </rPr>
      <t xml:space="preserve">2.5 </t>
    </r>
    <r>
      <rPr>
        <b/>
        <sz val="9"/>
        <rFont val="Arial"/>
        <family val="2"/>
      </rPr>
      <t>(exhaust)</t>
    </r>
  </si>
  <si>
    <t>EU-27+UK</t>
  </si>
  <si>
    <t>Not used for Ed. 9</t>
  </si>
  <si>
    <t>in 2019 €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</si>
</sst>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quot;€&quot;#,##0;[Red]\-&quot;€&quot;#,##0"/>
    <numFmt numFmtId="8" formatCode="&quot;€&quot;#,##0.00;[Red]\-&quot;€&quot;#,##0.00"/>
    <numFmt numFmtId="43" formatCode="_-* #,##0.00_-;\-* #,##0.00_-;_-* &quot;-&quot;??_-;_-@_-"/>
    <numFmt numFmtId="164" formatCode="&quot;€ &quot;#,##0;[Red]\-&quot;€ &quot;#,##0"/>
    <numFmt numFmtId="165" formatCode="&quot;€ &quot;#,##0.00;[Red]\-&quot;€ &quot;#,##0.00"/>
    <numFmt numFmtId="166" formatCode="[$€-2]\ #,##0;[Red]\-[$€-2]\ #,##0"/>
    <numFmt numFmtId="167" formatCode="dd\ mmm\ yyyy"/>
    <numFmt numFmtId="168" formatCode="0.00000"/>
    <numFmt numFmtId="169" formatCode="[$$-409]#,##0.00"/>
    <numFmt numFmtId="170" formatCode="[$$-409]#,##0"/>
    <numFmt numFmtId="171" formatCode="0.0%"/>
    <numFmt numFmtId="172" formatCode="[$$-409]#,##0.0"/>
    <numFmt numFmtId="173" formatCode="[$€-2]\ #,##0.00"/>
    <numFmt numFmtId="174" formatCode="0.000"/>
    <numFmt numFmtId="175" formatCode="0.0"/>
    <numFmt numFmtId="176" formatCode="dd\.mm\.yy"/>
    <numFmt numFmtId="177" formatCode="_-* #,##0_-;\-* #,##0_-;_-* &quot;-&quot;??_-;_-@_-"/>
    <numFmt numFmtId="178" formatCode="#,##0.0"/>
    <numFmt numFmtId="179" formatCode="&quot;€&quot;#,##0.00"/>
  </numFmts>
  <fonts count="62" x14ac:knownFonts="1">
    <font>
      <sz val="8"/>
      <name val="Arial"/>
    </font>
    <font>
      <sz val="11"/>
      <color theme="1"/>
      <name val="Calibri"/>
      <family val="2"/>
      <scheme val="minor"/>
    </font>
    <font>
      <sz val="11"/>
      <color theme="1"/>
      <name val="Calibri"/>
      <family val="2"/>
      <scheme val="minor"/>
    </font>
    <font>
      <sz val="10"/>
      <name val="Arial"/>
      <family val="2"/>
    </font>
    <font>
      <b/>
      <sz val="8"/>
      <color indexed="21"/>
      <name val="Arial"/>
      <family val="2"/>
    </font>
    <font>
      <sz val="8"/>
      <color indexed="21"/>
      <name val="Arial"/>
      <family val="2"/>
    </font>
    <font>
      <u/>
      <sz val="10"/>
      <color indexed="12"/>
      <name val="Arial"/>
      <family val="2"/>
    </font>
    <font>
      <sz val="8"/>
      <name val="Arial"/>
      <family val="2"/>
    </font>
    <font>
      <b/>
      <sz val="8"/>
      <name val="Arial"/>
      <family val="2"/>
    </font>
    <font>
      <sz val="8"/>
      <color indexed="12"/>
      <name val="Arial"/>
      <family val="2"/>
    </font>
    <font>
      <sz val="8"/>
      <color indexed="12"/>
      <name val="Arial"/>
      <family val="2"/>
    </font>
    <font>
      <sz val="8"/>
      <color indexed="21"/>
      <name val="Arial"/>
      <family val="2"/>
    </font>
    <font>
      <sz val="9"/>
      <name val="Arial"/>
      <family val="2"/>
    </font>
    <font>
      <b/>
      <sz val="9"/>
      <name val="Arial"/>
      <family val="2"/>
    </font>
    <font>
      <sz val="11"/>
      <name val="Arial"/>
      <family val="2"/>
    </font>
    <font>
      <sz val="10"/>
      <name val="Arial"/>
      <family val="2"/>
    </font>
    <font>
      <b/>
      <sz val="10"/>
      <name val="Arial"/>
      <family val="2"/>
    </font>
    <font>
      <sz val="11"/>
      <name val="Arial"/>
      <family val="2"/>
    </font>
    <font>
      <u/>
      <sz val="11"/>
      <color indexed="12"/>
      <name val="Arial"/>
      <family val="2"/>
    </font>
    <font>
      <sz val="11"/>
      <name val="Calibri"/>
      <family val="2"/>
    </font>
    <font>
      <sz val="10.5"/>
      <name val="Arial"/>
      <family val="2"/>
    </font>
    <font>
      <u/>
      <sz val="10"/>
      <name val="Arial"/>
      <family val="2"/>
    </font>
    <font>
      <sz val="10"/>
      <color indexed="22"/>
      <name val="Arial"/>
      <family val="2"/>
    </font>
    <font>
      <sz val="11"/>
      <color theme="1"/>
      <name val="Calibri"/>
      <family val="2"/>
      <scheme val="minor"/>
    </font>
    <font>
      <u/>
      <sz val="11"/>
      <color theme="10"/>
      <name val="Arial"/>
      <family val="2"/>
    </font>
    <font>
      <u/>
      <sz val="11"/>
      <color theme="10"/>
      <name val="Calibri"/>
      <family val="2"/>
      <scheme val="minor"/>
    </font>
    <font>
      <sz val="11"/>
      <color rgb="FFFF0000"/>
      <name val="Calibri"/>
      <family val="2"/>
      <scheme val="minor"/>
    </font>
    <font>
      <b/>
      <sz val="9"/>
      <color theme="1"/>
      <name val="Calibri"/>
      <family val="2"/>
    </font>
    <font>
      <sz val="9"/>
      <color theme="1"/>
      <name val="Calibri"/>
      <family val="2"/>
    </font>
    <font>
      <sz val="10"/>
      <color theme="1"/>
      <name val="Calibri"/>
      <family val="2"/>
      <scheme val="minor"/>
    </font>
    <font>
      <sz val="10"/>
      <color rgb="FFFFFFFF"/>
      <name val="Arial"/>
      <family val="2"/>
    </font>
    <font>
      <b/>
      <sz val="9"/>
      <color rgb="FF000000"/>
      <name val="Arial"/>
      <family val="2"/>
    </font>
    <font>
      <sz val="9"/>
      <color rgb="FF000000"/>
      <name val="Arial"/>
      <family val="2"/>
    </font>
    <font>
      <u/>
      <sz val="11"/>
      <color theme="1"/>
      <name val="Calibri"/>
      <family val="2"/>
      <scheme val="minor"/>
    </font>
    <font>
      <b/>
      <sz val="8"/>
      <color rgb="FFFF0000"/>
      <name val="Arial"/>
      <family val="2"/>
    </font>
    <font>
      <sz val="10"/>
      <color rgb="FFFF0000"/>
      <name val="Arial"/>
      <family val="2"/>
    </font>
    <font>
      <b/>
      <sz val="10"/>
      <color rgb="FFFF0000"/>
      <name val="Arial"/>
      <family val="2"/>
    </font>
    <font>
      <b/>
      <sz val="8"/>
      <color theme="0" tint="-0.34998626667073579"/>
      <name val="Arial"/>
      <family val="2"/>
    </font>
    <font>
      <sz val="8"/>
      <color theme="0" tint="-0.34998626667073579"/>
      <name val="Arial"/>
      <family val="2"/>
    </font>
    <font>
      <b/>
      <sz val="8"/>
      <color theme="1" tint="0.14999847407452621"/>
      <name val="Arial"/>
      <family val="2"/>
    </font>
    <font>
      <sz val="8"/>
      <color theme="1" tint="0.14999847407452621"/>
      <name val="Arial"/>
      <family val="2"/>
    </font>
    <font>
      <b/>
      <sz val="10"/>
      <color theme="1" tint="0.14999847407452621"/>
      <name val="Arial"/>
      <family val="2"/>
    </font>
    <font>
      <sz val="10"/>
      <color theme="1" tint="0.14999847407452621"/>
      <name val="Arial"/>
      <family val="2"/>
    </font>
    <font>
      <b/>
      <sz val="11"/>
      <name val="Arial"/>
      <family val="2"/>
    </font>
    <font>
      <b/>
      <sz val="11"/>
      <color rgb="FFFF0000"/>
      <name val="Calibri"/>
      <family val="2"/>
      <scheme val="minor"/>
    </font>
    <font>
      <sz val="11"/>
      <name val="Arial"/>
      <family val="2"/>
    </font>
    <font>
      <sz val="10"/>
      <name val="Arial"/>
      <family val="2"/>
    </font>
    <font>
      <b/>
      <sz val="8"/>
      <color theme="1" tint="4.9989318521683403E-2"/>
      <name val="Arial"/>
      <family val="2"/>
    </font>
    <font>
      <sz val="8"/>
      <color theme="1" tint="4.9989318521683403E-2"/>
      <name val="Arial"/>
      <family val="2"/>
    </font>
    <font>
      <b/>
      <sz val="9"/>
      <color rgb="FF262626"/>
      <name val="Arial"/>
      <family val="2"/>
    </font>
    <font>
      <sz val="9"/>
      <color rgb="FF262626"/>
      <name val="Arial"/>
      <family val="2"/>
    </font>
    <font>
      <b/>
      <sz val="11"/>
      <color rgb="FFFF0000"/>
      <name val="Arial"/>
      <family val="2"/>
    </font>
    <font>
      <b/>
      <sz val="10"/>
      <color rgb="FF000000"/>
      <name val="Arial"/>
      <family val="2"/>
    </font>
    <font>
      <b/>
      <vertAlign val="subscript"/>
      <sz val="10"/>
      <color rgb="FF000000"/>
      <name val="Arial"/>
      <family val="2"/>
    </font>
    <font>
      <vertAlign val="subscript"/>
      <sz val="10"/>
      <name val="Arial"/>
      <family val="2"/>
    </font>
    <font>
      <b/>
      <sz val="8"/>
      <name val="Trebuchet MS"/>
      <family val="2"/>
    </font>
    <font>
      <sz val="8"/>
      <name val="Trebuchet MS"/>
      <family val="2"/>
    </font>
    <font>
      <sz val="8"/>
      <color rgb="FF000000"/>
      <name val="Trebuchet MS"/>
      <family val="2"/>
    </font>
    <font>
      <vertAlign val="subscript"/>
      <sz val="9"/>
      <name val="Arial"/>
      <family val="2"/>
    </font>
    <font>
      <b/>
      <sz val="10"/>
      <name val="Calibri"/>
      <family val="2"/>
    </font>
    <font>
      <b/>
      <vertAlign val="subscript"/>
      <sz val="9"/>
      <name val="Arial"/>
      <family val="2"/>
    </font>
    <font>
      <b/>
      <sz val="9"/>
      <color rgb="FFFF0000"/>
      <name val="Arial"/>
      <family val="2"/>
    </font>
  </fonts>
  <fills count="28">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53"/>
        <bgColor indexed="64"/>
      </patternFill>
    </fill>
    <fill>
      <patternFill patternType="solid">
        <fgColor indexed="43"/>
        <bgColor indexed="64"/>
      </patternFill>
    </fill>
    <fill>
      <patternFill patternType="solid">
        <fgColor indexed="22"/>
        <bgColor indexed="64"/>
      </patternFill>
    </fill>
    <fill>
      <patternFill patternType="solid">
        <fgColor indexed="31"/>
        <bgColor indexed="64"/>
      </patternFill>
    </fill>
    <fill>
      <patternFill patternType="solid">
        <fgColor indexed="45"/>
        <bgColor indexed="64"/>
      </patternFill>
    </fill>
    <fill>
      <patternFill patternType="solid">
        <fgColor theme="0" tint="-4.9989318521683403E-2"/>
        <bgColor indexed="64"/>
      </patternFill>
    </fill>
    <fill>
      <patternFill patternType="solid">
        <fgColor rgb="FFE0E0E0"/>
        <bgColor indexed="64"/>
      </patternFill>
    </fill>
    <fill>
      <patternFill patternType="solid">
        <fgColor rgb="FFFFFF00"/>
        <bgColor indexed="64"/>
      </patternFill>
    </fill>
    <fill>
      <patternFill patternType="solid">
        <fgColor rgb="FFD9D9D9"/>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bgColor indexed="64"/>
      </patternFill>
    </fill>
    <fill>
      <patternFill patternType="solid">
        <fgColor rgb="FF008000"/>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A5A5A5"/>
        <bgColor indexed="64"/>
      </patternFill>
    </fill>
    <fill>
      <patternFill patternType="solid">
        <fgColor rgb="FFEDEDED"/>
        <bgColor indexed="64"/>
      </patternFill>
    </fill>
    <fill>
      <patternFill patternType="solid">
        <fgColor theme="6" tint="0.79998168889431442"/>
        <bgColor indexed="64"/>
      </patternFill>
    </fill>
  </fills>
  <borders count="143">
    <border>
      <left/>
      <right/>
      <top/>
      <bottom/>
      <diagonal/>
    </border>
    <border>
      <left style="thin">
        <color indexed="21"/>
      </left>
      <right style="thin">
        <color indexed="21"/>
      </right>
      <top style="thin">
        <color indexed="21"/>
      </top>
      <bottom style="thin">
        <color indexed="21"/>
      </bottom>
      <diagonal/>
    </border>
    <border>
      <left style="thin">
        <color indexed="21"/>
      </left>
      <right style="thin">
        <color indexed="21"/>
      </right>
      <top style="thin">
        <color indexed="21"/>
      </top>
      <bottom/>
      <diagonal/>
    </border>
    <border>
      <left style="thin">
        <color indexed="21"/>
      </left>
      <right style="thin">
        <color indexed="21"/>
      </right>
      <top/>
      <bottom style="thin">
        <color indexed="21"/>
      </bottom>
      <diagonal/>
    </border>
    <border>
      <left/>
      <right/>
      <top style="thin">
        <color indexed="21"/>
      </top>
      <bottom/>
      <diagonal/>
    </border>
    <border>
      <left/>
      <right/>
      <top/>
      <bottom style="thin">
        <color indexed="21"/>
      </bottom>
      <diagonal/>
    </border>
    <border>
      <left style="thin">
        <color indexed="12"/>
      </left>
      <right style="thin">
        <color indexed="12"/>
      </right>
      <top style="thin">
        <color indexed="12"/>
      </top>
      <bottom style="thin">
        <color indexed="1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style="dotted">
        <color indexed="64"/>
      </left>
      <right style="dotted">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dotted">
        <color indexed="64"/>
      </left>
      <right style="dotted">
        <color indexed="64"/>
      </right>
      <top/>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thin">
        <color indexed="64"/>
      </bottom>
      <diagonal/>
    </border>
    <border>
      <left style="dotted">
        <color indexed="64"/>
      </left>
      <right style="dotted">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rgb="FFDDDDDD"/>
      </right>
      <top/>
      <bottom style="medium">
        <color rgb="FFDDDDDD"/>
      </bottom>
      <diagonal/>
    </border>
    <border>
      <left/>
      <right style="medium">
        <color rgb="FFDDDDDD"/>
      </right>
      <top/>
      <bottom style="medium">
        <color rgb="FFDDDDDD"/>
      </bottom>
      <diagonal/>
    </border>
    <border>
      <left/>
      <right style="medium">
        <color indexed="64"/>
      </right>
      <top/>
      <bottom style="medium">
        <color rgb="FFDDDDDD"/>
      </bottom>
      <diagonal/>
    </border>
    <border>
      <left style="medium">
        <color indexed="64"/>
      </left>
      <right style="medium">
        <color rgb="FFC0C0C0"/>
      </right>
      <top style="medium">
        <color rgb="FFC0C0C0"/>
      </top>
      <bottom style="thin">
        <color indexed="64"/>
      </bottom>
      <diagonal/>
    </border>
    <border>
      <left/>
      <right style="medium">
        <color rgb="FFC0C0C0"/>
      </right>
      <top style="medium">
        <color rgb="FFC0C0C0"/>
      </top>
      <bottom style="thin">
        <color indexed="64"/>
      </bottom>
      <diagonal/>
    </border>
    <border>
      <left/>
      <right style="medium">
        <color indexed="64"/>
      </right>
      <top style="medium">
        <color rgb="FFC0C0C0"/>
      </top>
      <bottom style="thin">
        <color indexed="64"/>
      </bottom>
      <diagonal/>
    </border>
    <border>
      <left/>
      <right style="medium">
        <color rgb="FF808080"/>
      </right>
      <top style="medium">
        <color rgb="FF808080"/>
      </top>
      <bottom/>
      <diagonal/>
    </border>
    <border>
      <left style="thin">
        <color rgb="FF808080"/>
      </left>
      <right style="thin">
        <color rgb="FF808080"/>
      </right>
      <top style="thin">
        <color rgb="FF808080"/>
      </top>
      <bottom style="thin">
        <color rgb="FF808080"/>
      </bottom>
      <diagonal/>
    </border>
    <border>
      <left/>
      <right style="medium">
        <color rgb="FF808080"/>
      </right>
      <top/>
      <bottom style="medium">
        <color rgb="FF808080"/>
      </bottom>
      <diagonal/>
    </border>
    <border>
      <left style="medium">
        <color rgb="FF808080"/>
      </left>
      <right style="medium">
        <color rgb="FF808080"/>
      </right>
      <top/>
      <bottom style="medium">
        <color rgb="FF808080"/>
      </bottom>
      <diagonal/>
    </border>
    <border>
      <left/>
      <right/>
      <top style="thin">
        <color rgb="FF808080"/>
      </top>
      <bottom/>
      <diagonal/>
    </border>
    <border>
      <left style="medium">
        <color rgb="FFA6A6A6"/>
      </left>
      <right style="medium">
        <color rgb="FFA6A6A6"/>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bottom style="medium">
        <color rgb="FFA6A6A6"/>
      </bottom>
      <diagonal/>
    </border>
    <border>
      <left/>
      <right style="medium">
        <color rgb="FFA6A6A6"/>
      </right>
      <top/>
      <bottom style="medium">
        <color rgb="FFA6A6A6"/>
      </bottom>
      <diagonal/>
    </border>
    <border>
      <left style="medium">
        <color rgb="FFA6A6A6"/>
      </left>
      <right style="medium">
        <color rgb="FFA6A6A6"/>
      </right>
      <top/>
      <bottom/>
      <diagonal/>
    </border>
    <border>
      <left/>
      <right style="medium">
        <color rgb="FFA6A6A6"/>
      </right>
      <top/>
      <bottom/>
      <diagonal/>
    </border>
    <border>
      <left style="medium">
        <color rgb="FFA6A6A6"/>
      </left>
      <right style="medium">
        <color rgb="FFA6A6A6"/>
      </right>
      <top style="medium">
        <color rgb="FFA6A6A6"/>
      </top>
      <bottom/>
      <diagonal/>
    </border>
    <border>
      <left/>
      <right style="medium">
        <color rgb="FFA6A6A6"/>
      </right>
      <top style="medium">
        <color rgb="FFA6A6A6"/>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top style="medium">
        <color indexed="64"/>
      </top>
      <bottom style="medium">
        <color rgb="FFC0C0C0"/>
      </bottom>
      <diagonal/>
    </border>
    <border>
      <left/>
      <right/>
      <top style="medium">
        <color indexed="64"/>
      </top>
      <bottom style="medium">
        <color rgb="FFC0C0C0"/>
      </bottom>
      <diagonal/>
    </border>
    <border>
      <left/>
      <right style="medium">
        <color indexed="64"/>
      </right>
      <top style="medium">
        <color indexed="64"/>
      </top>
      <bottom style="medium">
        <color rgb="FFC0C0C0"/>
      </bottom>
      <diagonal/>
    </border>
    <border>
      <left style="medium">
        <color rgb="FF808080"/>
      </left>
      <right style="medium">
        <color rgb="FF808080"/>
      </right>
      <top style="medium">
        <color rgb="FF808080"/>
      </top>
      <bottom/>
      <diagonal/>
    </border>
    <border>
      <left style="medium">
        <color rgb="FFA6A6A6"/>
      </left>
      <right/>
      <top style="medium">
        <color rgb="FFA6A6A6"/>
      </top>
      <bottom style="medium">
        <color rgb="FFA6A6A6"/>
      </bottom>
      <diagonal/>
    </border>
    <border>
      <left/>
      <right/>
      <top style="medium">
        <color rgb="FFA6A6A6"/>
      </top>
      <bottom style="medium">
        <color rgb="FFA6A6A6"/>
      </bottom>
      <diagonal/>
    </border>
    <border>
      <left style="medium">
        <color rgb="FFA6A6A6"/>
      </left>
      <right/>
      <top/>
      <bottom style="medium">
        <color rgb="FFA6A6A6"/>
      </bottom>
      <diagonal/>
    </border>
    <border>
      <left/>
      <right/>
      <top/>
      <bottom style="thin">
        <color theme="0" tint="-0.24994659260841701"/>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theme="0" tint="-0.24994659260841701"/>
      </left>
      <right/>
      <top/>
      <bottom/>
      <diagonal/>
    </border>
    <border>
      <left/>
      <right style="medium">
        <color theme="0" tint="-0.24994659260841701"/>
      </right>
      <top/>
      <bottom/>
      <diagonal/>
    </border>
    <border>
      <left style="medium">
        <color theme="0" tint="-0.24994659260841701"/>
      </left>
      <right/>
      <top/>
      <bottom style="medium">
        <color theme="0" tint="-0.24994659260841701"/>
      </bottom>
      <diagonal/>
    </border>
    <border>
      <left/>
      <right/>
      <top/>
      <bottom style="medium">
        <color theme="0" tint="-0.24994659260841701"/>
      </bottom>
      <diagonal/>
    </border>
    <border>
      <left/>
      <right style="medium">
        <color theme="0" tint="-0.24994659260841701"/>
      </right>
      <top/>
      <bottom style="medium">
        <color theme="0" tint="-0.24994659260841701"/>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rgb="FFA6A6A6"/>
      </left>
      <right/>
      <top style="medium">
        <color rgb="FFA6A6A6"/>
      </top>
      <bottom/>
      <diagonal/>
    </border>
    <border>
      <left/>
      <right/>
      <top style="medium">
        <color rgb="FFA6A6A6"/>
      </top>
      <bottom/>
      <diagonal/>
    </border>
    <border>
      <left style="medium">
        <color rgb="FFA6A6A6"/>
      </left>
      <right/>
      <top/>
      <bottom/>
      <diagonal/>
    </border>
    <border>
      <left style="thin">
        <color indexed="8"/>
      </left>
      <right style="thin">
        <color indexed="8"/>
      </right>
      <top style="thin">
        <color indexed="8"/>
      </top>
      <bottom style="thin">
        <color indexed="8"/>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medium">
        <color indexed="64"/>
      </right>
      <top style="thin">
        <color theme="0" tint="-0.24994659260841701"/>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rgb="FFA6A6A6"/>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rgb="FFA6A6A6"/>
      </right>
      <top style="medium">
        <color indexed="64"/>
      </top>
      <bottom/>
      <diagonal/>
    </border>
    <border>
      <left style="medium">
        <color indexed="64"/>
      </left>
      <right style="medium">
        <color rgb="FFA6A6A6"/>
      </right>
      <top/>
      <bottom/>
      <diagonal/>
    </border>
    <border>
      <left style="medium">
        <color indexed="64"/>
      </left>
      <right style="medium">
        <color indexed="64"/>
      </right>
      <top/>
      <bottom/>
      <diagonal/>
    </border>
    <border>
      <left/>
      <right/>
      <top/>
      <bottom style="medium">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style="medium">
        <color rgb="FFA6A6A6"/>
      </right>
      <top style="medium">
        <color indexed="64"/>
      </top>
      <bottom style="medium">
        <color indexed="64"/>
      </bottom>
      <diagonal/>
    </border>
    <border>
      <left/>
      <right style="medium">
        <color rgb="FFA6A6A6"/>
      </right>
      <top/>
      <bottom style="medium">
        <color indexed="64"/>
      </bottom>
      <diagonal/>
    </border>
    <border>
      <left style="medium">
        <color indexed="64"/>
      </left>
      <right style="medium">
        <color indexed="64"/>
      </right>
      <top/>
      <bottom style="medium">
        <color rgb="FFA6A6A6"/>
      </bottom>
      <diagonal/>
    </border>
    <border>
      <left/>
      <right style="medium">
        <color indexed="64"/>
      </right>
      <top/>
      <bottom style="medium">
        <color rgb="FFA6A6A6"/>
      </bottom>
      <diagonal/>
    </border>
    <border>
      <left style="medium">
        <color indexed="64"/>
      </left>
      <right/>
      <top style="medium">
        <color indexed="64"/>
      </top>
      <bottom style="medium">
        <color indexed="64"/>
      </bottom>
      <diagonal/>
    </border>
    <border>
      <left style="medium">
        <color rgb="FFA5A5A5"/>
      </left>
      <right style="medium">
        <color rgb="FFA5A5A5"/>
      </right>
      <top style="medium">
        <color rgb="FFA5A5A5"/>
      </top>
      <bottom style="medium">
        <color rgb="FFA5A5A5"/>
      </bottom>
      <diagonal/>
    </border>
    <border>
      <left/>
      <right style="medium">
        <color rgb="FFA5A5A5"/>
      </right>
      <top style="medium">
        <color rgb="FFA5A5A5"/>
      </top>
      <bottom style="medium">
        <color rgb="FFA5A5A5"/>
      </bottom>
      <diagonal/>
    </border>
    <border>
      <left style="medium">
        <color rgb="FFC9C9C9"/>
      </left>
      <right style="medium">
        <color rgb="FFA5A5A5"/>
      </right>
      <top/>
      <bottom style="medium">
        <color rgb="FFA5A5A5"/>
      </bottom>
      <diagonal/>
    </border>
    <border>
      <left/>
      <right style="medium">
        <color rgb="FFA5A5A5"/>
      </right>
      <top/>
      <bottom style="medium">
        <color rgb="FFA5A5A5"/>
      </bottom>
      <diagonal/>
    </border>
    <border>
      <left/>
      <right style="medium">
        <color rgb="FFC9C9C9"/>
      </right>
      <top/>
      <bottom style="medium">
        <color rgb="FFA5A5A5"/>
      </bottom>
      <diagonal/>
    </border>
    <border>
      <left style="medium">
        <color rgb="FFC9C9C9"/>
      </left>
      <right style="medium">
        <color rgb="FFA5A5A5"/>
      </right>
      <top/>
      <bottom style="medium">
        <color rgb="FFC9C9C9"/>
      </bottom>
      <diagonal/>
    </border>
    <border>
      <left/>
      <right style="medium">
        <color rgb="FFA5A5A5"/>
      </right>
      <top/>
      <bottom style="medium">
        <color rgb="FFC9C9C9"/>
      </bottom>
      <diagonal/>
    </border>
    <border>
      <left/>
      <right style="medium">
        <color rgb="FFC9C9C9"/>
      </right>
      <top/>
      <bottom style="medium">
        <color rgb="FFC9C9C9"/>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medium">
        <color rgb="FFBFBFBF"/>
      </left>
      <right style="medium">
        <color rgb="FFBFBFBF"/>
      </right>
      <top style="medium">
        <color rgb="FFBFBFBF"/>
      </top>
      <bottom/>
      <diagonal/>
    </border>
    <border>
      <left/>
      <right style="medium">
        <color rgb="FFBFBFBF"/>
      </right>
      <top style="medium">
        <color rgb="FFBFBFBF"/>
      </top>
      <bottom/>
      <diagonal/>
    </border>
    <border>
      <left/>
      <right/>
      <top style="medium">
        <color rgb="FFBFBFBF"/>
      </top>
      <bottom/>
      <diagonal/>
    </border>
    <border>
      <left style="medium">
        <color rgb="FFBFBFBF"/>
      </left>
      <right style="medium">
        <color rgb="FFBFBFBF"/>
      </right>
      <top/>
      <bottom/>
      <diagonal/>
    </border>
    <border>
      <left/>
      <right style="medium">
        <color rgb="FFBFBFBF"/>
      </right>
      <top/>
      <bottom/>
      <diagonal/>
    </border>
    <border>
      <left/>
      <right style="medium">
        <color rgb="FFBFBFBF"/>
      </right>
      <top/>
      <bottom style="medium">
        <color rgb="FFC2D69B"/>
      </bottom>
      <diagonal/>
    </border>
    <border>
      <left style="medium">
        <color rgb="FFBFBFBF"/>
      </left>
      <right style="medium">
        <color rgb="FFBFBFBF"/>
      </right>
      <top/>
      <bottom style="medium">
        <color rgb="FFC2D69B"/>
      </bottom>
      <diagonal/>
    </border>
    <border>
      <left style="medium">
        <color rgb="FFBFBFBF"/>
      </left>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style="medium">
        <color rgb="FFBFBFBF"/>
      </bottom>
      <diagonal/>
    </border>
    <border>
      <left/>
      <right style="medium">
        <color rgb="FFBFBFBF"/>
      </right>
      <top/>
      <bottom style="medium">
        <color rgb="FFBFBFBF"/>
      </bottom>
      <diagonal/>
    </border>
    <border>
      <left style="medium">
        <color rgb="FFBFBFBF"/>
      </left>
      <right/>
      <top style="medium">
        <color rgb="FFBFBFBF"/>
      </top>
      <bottom style="medium">
        <color rgb="FFBFBFBF"/>
      </bottom>
      <diagonal/>
    </border>
    <border>
      <left/>
      <right/>
      <top/>
      <bottom style="medium">
        <color indexed="64"/>
      </bottom>
      <diagonal/>
    </border>
    <border>
      <left style="medium">
        <color rgb="FFA6A6A6"/>
      </left>
      <right/>
      <top style="medium">
        <color indexed="64"/>
      </top>
      <bottom/>
      <diagonal/>
    </border>
    <border>
      <left style="medium">
        <color rgb="FFBFBFBF"/>
      </left>
      <right style="medium">
        <color rgb="FFBFBFBF"/>
      </right>
      <top style="medium">
        <color rgb="FFBFBFBF"/>
      </top>
      <bottom style="medium">
        <color rgb="FFBFBFBF"/>
      </bottom>
      <diagonal/>
    </border>
  </borders>
  <cellStyleXfs count="12">
    <xf numFmtId="0" fontId="0" fillId="0" borderId="0"/>
    <xf numFmtId="43" fontId="3" fillId="0" borderId="0" applyFont="0" applyFill="0" applyBorder="0" applyAlignment="0" applyProtection="0"/>
    <xf numFmtId="43" fontId="23" fillId="0" borderId="0" applyFont="0" applyFill="0" applyBorder="0" applyAlignment="0" applyProtection="0"/>
    <xf numFmtId="0" fontId="6" fillId="0" borderId="0" applyNumberFormat="0" applyFill="0" applyBorder="0" applyAlignment="0" applyProtection="0">
      <alignment vertical="top"/>
      <protection locked="0"/>
    </xf>
    <xf numFmtId="0" fontId="24" fillId="0" borderId="0" applyNumberFormat="0" applyFill="0" applyBorder="0" applyAlignment="0" applyProtection="0"/>
    <xf numFmtId="0" fontId="18" fillId="0" borderId="0" applyNumberFormat="0" applyFill="0" applyBorder="0" applyAlignment="0" applyProtection="0">
      <alignment vertical="top"/>
      <protection locked="0"/>
    </xf>
    <xf numFmtId="0" fontId="25" fillId="0" borderId="0" applyNumberFormat="0" applyFill="0" applyBorder="0" applyAlignment="0" applyProtection="0"/>
    <xf numFmtId="0" fontId="14" fillId="0" borderId="0"/>
    <xf numFmtId="0" fontId="17" fillId="0" borderId="0"/>
    <xf numFmtId="0" fontId="23" fillId="0" borderId="0"/>
    <xf numFmtId="9" fontId="3" fillId="0" borderId="0" applyFont="0" applyFill="0" applyBorder="0" applyAlignment="0" applyProtection="0"/>
    <xf numFmtId="0" fontId="45" fillId="0" borderId="0"/>
  </cellStyleXfs>
  <cellXfs count="652">
    <xf numFmtId="0" fontId="0" fillId="0" borderId="0" xfId="0"/>
    <xf numFmtId="0" fontId="5" fillId="0" borderId="0" xfId="0" applyFont="1" applyAlignment="1">
      <alignment horizontal="left"/>
    </xf>
    <xf numFmtId="0" fontId="4" fillId="0" borderId="0" xfId="0" applyFont="1" applyAlignment="1">
      <alignment horizontal="left" vertical="top" wrapText="1"/>
    </xf>
    <xf numFmtId="0" fontId="5" fillId="0" borderId="0" xfId="0" applyFont="1" applyAlignment="1">
      <alignment horizontal="center" vertical="top" wrapText="1"/>
    </xf>
    <xf numFmtId="0" fontId="5" fillId="0" borderId="0" xfId="0" applyFont="1" applyAlignment="1">
      <alignment horizontal="center" vertical="top"/>
    </xf>
    <xf numFmtId="0" fontId="7" fillId="0" borderId="0" xfId="0" applyFont="1" applyAlignment="1">
      <alignment horizontal="left"/>
    </xf>
    <xf numFmtId="0" fontId="4" fillId="0" borderId="0" xfId="0" applyFont="1" applyAlignment="1">
      <alignment horizontal="left"/>
    </xf>
    <xf numFmtId="0" fontId="0" fillId="0" borderId="0" xfId="0" applyAlignment="1">
      <alignment horizontal="right"/>
    </xf>
    <xf numFmtId="4" fontId="0" fillId="0" borderId="0" xfId="0" applyNumberFormat="1"/>
    <xf numFmtId="2" fontId="0" fillId="0" borderId="0" xfId="0" applyNumberFormat="1"/>
    <xf numFmtId="0" fontId="11" fillId="0" borderId="0" xfId="0" applyFont="1" applyAlignment="1">
      <alignment horizontal="left"/>
    </xf>
    <xf numFmtId="0" fontId="7" fillId="0" borderId="0" xfId="0" applyFont="1"/>
    <xf numFmtId="168" fontId="0" fillId="0" borderId="0" xfId="0" applyNumberFormat="1"/>
    <xf numFmtId="0" fontId="11" fillId="0" borderId="0" xfId="0" applyFont="1"/>
    <xf numFmtId="0" fontId="4"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2" borderId="2" xfId="0" applyFont="1" applyFill="1" applyBorder="1" applyAlignment="1">
      <alignment vertical="top" wrapText="1"/>
    </xf>
    <xf numFmtId="0" fontId="4" fillId="2" borderId="2" xfId="0" applyFont="1" applyFill="1" applyBorder="1" applyAlignment="1">
      <alignment horizontal="left" vertical="top" wrapText="1"/>
    </xf>
    <xf numFmtId="0" fontId="4" fillId="2" borderId="3" xfId="0" applyFont="1" applyFill="1" applyBorder="1" applyAlignment="1">
      <alignment vertical="top" wrapText="1"/>
    </xf>
    <xf numFmtId="0" fontId="4" fillId="2" borderId="3" xfId="0" applyFont="1" applyFill="1" applyBorder="1" applyAlignment="1">
      <alignment horizontal="left" vertical="top" wrapText="1"/>
    </xf>
    <xf numFmtId="164" fontId="5" fillId="0" borderId="0" xfId="0" applyNumberFormat="1" applyFont="1"/>
    <xf numFmtId="0" fontId="5" fillId="0" borderId="1" xfId="0" applyFont="1" applyBorder="1" applyAlignment="1">
      <alignment horizontal="left" wrapText="1"/>
    </xf>
    <xf numFmtId="170" fontId="5" fillId="0" borderId="1" xfId="0" applyNumberFormat="1" applyFont="1" applyBorder="1" applyAlignment="1">
      <alignment vertical="top" wrapText="1"/>
    </xf>
    <xf numFmtId="169" fontId="7" fillId="0" borderId="0" xfId="0" applyNumberFormat="1" applyFont="1" applyAlignment="1">
      <alignment horizontal="left"/>
    </xf>
    <xf numFmtId="164" fontId="9" fillId="0" borderId="6" xfId="0" applyNumberFormat="1" applyFont="1" applyBorder="1"/>
    <xf numFmtId="164" fontId="9" fillId="0" borderId="0" xfId="0" applyNumberFormat="1" applyFont="1"/>
    <xf numFmtId="172" fontId="10" fillId="3" borderId="6" xfId="0" applyNumberFormat="1" applyFont="1" applyFill="1" applyBorder="1"/>
    <xf numFmtId="165" fontId="9" fillId="3" borderId="6" xfId="0" applyNumberFormat="1" applyFont="1" applyFill="1" applyBorder="1" applyAlignment="1">
      <alignment vertical="top" wrapText="1"/>
    </xf>
    <xf numFmtId="165" fontId="5" fillId="3" borderId="0" xfId="0" applyNumberFormat="1" applyFont="1" applyFill="1"/>
    <xf numFmtId="2" fontId="5" fillId="5" borderId="1" xfId="0" applyNumberFormat="1" applyFont="1" applyFill="1" applyBorder="1" applyAlignment="1">
      <alignment horizontal="right" wrapText="1"/>
    </xf>
    <xf numFmtId="2" fontId="10" fillId="5" borderId="6" xfId="0" applyNumberFormat="1" applyFont="1" applyFill="1" applyBorder="1"/>
    <xf numFmtId="0" fontId="15" fillId="0" borderId="32" xfId="7" applyFont="1" applyBorder="1" applyAlignment="1">
      <alignment horizontal="center" vertical="center" wrapText="1"/>
    </xf>
    <xf numFmtId="0" fontId="15" fillId="0" borderId="33" xfId="7" applyFont="1" applyBorder="1" applyAlignment="1">
      <alignment horizontal="center" vertical="center" wrapText="1"/>
    </xf>
    <xf numFmtId="0" fontId="15" fillId="9" borderId="32" xfId="7" applyFont="1" applyFill="1" applyBorder="1" applyAlignment="1">
      <alignment horizontal="center" vertical="center" wrapText="1"/>
    </xf>
    <xf numFmtId="0" fontId="15" fillId="9" borderId="33" xfId="7" applyFont="1" applyFill="1" applyBorder="1" applyAlignment="1">
      <alignment horizontal="center" vertical="center" wrapText="1"/>
    </xf>
    <xf numFmtId="10" fontId="15" fillId="9" borderId="34" xfId="7" applyNumberFormat="1" applyFont="1" applyFill="1" applyBorder="1" applyAlignment="1">
      <alignment horizontal="center" vertical="center" wrapText="1"/>
    </xf>
    <xf numFmtId="0" fontId="16" fillId="10" borderId="35" xfId="7" applyFont="1" applyFill="1" applyBorder="1" applyAlignment="1">
      <alignment horizontal="center" vertical="center" wrapText="1"/>
    </xf>
    <xf numFmtId="0" fontId="16" fillId="10" borderId="36" xfId="7" applyFont="1" applyFill="1" applyBorder="1" applyAlignment="1">
      <alignment horizontal="center" vertical="center" wrapText="1"/>
    </xf>
    <xf numFmtId="0" fontId="16" fillId="10" borderId="37" xfId="7" applyFont="1" applyFill="1" applyBorder="1" applyAlignment="1">
      <alignment horizontal="center" vertical="center" wrapText="1"/>
    </xf>
    <xf numFmtId="0" fontId="23" fillId="0" borderId="0" xfId="9"/>
    <xf numFmtId="0" fontId="23" fillId="11" borderId="0" xfId="9" applyFill="1"/>
    <xf numFmtId="0" fontId="27" fillId="12" borderId="38" xfId="9" applyFont="1" applyFill="1" applyBorder="1" applyAlignment="1">
      <alignment horizontal="center" vertical="center" wrapText="1"/>
    </xf>
    <xf numFmtId="0" fontId="27" fillId="12" borderId="39" xfId="9" applyFont="1" applyFill="1" applyBorder="1" applyAlignment="1">
      <alignment horizontal="center" vertical="center" wrapText="1"/>
    </xf>
    <xf numFmtId="0" fontId="27" fillId="12" borderId="40" xfId="9" applyFont="1" applyFill="1" applyBorder="1" applyAlignment="1">
      <alignment horizontal="center" vertical="center" wrapText="1"/>
    </xf>
    <xf numFmtId="0" fontId="28" fillId="0" borderId="41" xfId="9" applyFont="1" applyBorder="1" applyAlignment="1">
      <alignment vertical="center" wrapText="1"/>
    </xf>
    <xf numFmtId="0" fontId="28" fillId="0" borderId="40" xfId="9" applyFont="1" applyBorder="1" applyAlignment="1">
      <alignment horizontal="right" vertical="center" wrapText="1"/>
    </xf>
    <xf numFmtId="0" fontId="28" fillId="0" borderId="39" xfId="9" applyFont="1" applyBorder="1" applyAlignment="1">
      <alignment vertical="center" wrapText="1"/>
    </xf>
    <xf numFmtId="175" fontId="28" fillId="0" borderId="39" xfId="9" applyNumberFormat="1" applyFont="1" applyBorder="1" applyAlignment="1">
      <alignment horizontal="right" vertical="center" wrapText="1"/>
    </xf>
    <xf numFmtId="177" fontId="28" fillId="0" borderId="39" xfId="2" applyNumberFormat="1" applyFont="1" applyBorder="1" applyAlignment="1">
      <alignment horizontal="right" vertical="center" wrapText="1"/>
    </xf>
    <xf numFmtId="43" fontId="28" fillId="0" borderId="39" xfId="2" applyFont="1" applyBorder="1" applyAlignment="1">
      <alignment horizontal="right" vertical="center" wrapText="1"/>
    </xf>
    <xf numFmtId="0" fontId="28" fillId="13" borderId="41" xfId="9" applyFont="1" applyFill="1" applyBorder="1" applyAlignment="1">
      <alignment vertical="center" wrapText="1"/>
    </xf>
    <xf numFmtId="0" fontId="28" fillId="13" borderId="40" xfId="9" applyFont="1" applyFill="1" applyBorder="1" applyAlignment="1">
      <alignment horizontal="right" vertical="center" wrapText="1"/>
    </xf>
    <xf numFmtId="0" fontId="28" fillId="13" borderId="39" xfId="9" applyFont="1" applyFill="1" applyBorder="1" applyAlignment="1">
      <alignment vertical="center" wrapText="1"/>
    </xf>
    <xf numFmtId="0" fontId="23" fillId="0" borderId="0" xfId="9" applyAlignment="1">
      <alignment vertical="center"/>
    </xf>
    <xf numFmtId="0" fontId="29" fillId="0" borderId="0" xfId="9" applyFont="1" applyAlignment="1">
      <alignment vertical="center"/>
    </xf>
    <xf numFmtId="0" fontId="28" fillId="0" borderId="42" xfId="9" applyFont="1" applyBorder="1" applyAlignment="1">
      <alignment vertical="center"/>
    </xf>
    <xf numFmtId="0" fontId="25" fillId="0" borderId="0" xfId="6"/>
    <xf numFmtId="177" fontId="28" fillId="0" borderId="39" xfId="1" applyNumberFormat="1" applyFont="1" applyBorder="1" applyAlignment="1">
      <alignment horizontal="right" vertical="center" wrapText="1"/>
    </xf>
    <xf numFmtId="0" fontId="26" fillId="0" borderId="0" xfId="9" applyFont="1"/>
    <xf numFmtId="0" fontId="16" fillId="12" borderId="46" xfId="0" applyFont="1" applyFill="1" applyBorder="1" applyAlignment="1">
      <alignment horizontal="center" vertical="center" wrapText="1"/>
    </xf>
    <xf numFmtId="0" fontId="15" fillId="0" borderId="47" xfId="0" applyFont="1" applyBorder="1" applyAlignment="1">
      <alignment vertical="center" wrapText="1"/>
    </xf>
    <xf numFmtId="0" fontId="15" fillId="0" borderId="48" xfId="0" applyFont="1" applyBorder="1" applyAlignment="1">
      <alignment horizontal="center" vertical="center" wrapText="1"/>
    </xf>
    <xf numFmtId="0" fontId="15" fillId="13" borderId="47" xfId="0" applyFont="1" applyFill="1" applyBorder="1" applyAlignment="1">
      <alignment vertical="center" wrapText="1"/>
    </xf>
    <xf numFmtId="0" fontId="15" fillId="13" borderId="48" xfId="0" applyFont="1" applyFill="1" applyBorder="1" applyAlignment="1">
      <alignment horizontal="center" vertical="center" wrapText="1"/>
    </xf>
    <xf numFmtId="0" fontId="15" fillId="0" borderId="45" xfId="0" applyFont="1" applyBorder="1" applyAlignment="1">
      <alignment vertical="center" wrapText="1"/>
    </xf>
    <xf numFmtId="0" fontId="15" fillId="0" borderId="46" xfId="0" applyFont="1" applyBorder="1" applyAlignment="1">
      <alignment horizontal="center" vertical="center" wrapText="1"/>
    </xf>
    <xf numFmtId="0" fontId="16" fillId="12" borderId="49" xfId="0" applyFont="1" applyFill="1" applyBorder="1" applyAlignment="1">
      <alignment horizontal="center" vertical="center" wrapText="1"/>
    </xf>
    <xf numFmtId="0" fontId="16" fillId="12" borderId="45" xfId="0" applyFont="1" applyFill="1" applyBorder="1" applyAlignment="1">
      <alignment horizontal="center" vertical="center" wrapText="1"/>
    </xf>
    <xf numFmtId="0" fontId="6" fillId="0" borderId="0" xfId="3" applyAlignment="1" applyProtection="1"/>
    <xf numFmtId="2" fontId="9" fillId="5" borderId="6" xfId="0" quotePrefix="1" applyNumberFormat="1" applyFont="1" applyFill="1" applyBorder="1" applyAlignment="1">
      <alignment horizontal="right"/>
    </xf>
    <xf numFmtId="0" fontId="16" fillId="12" borderId="50" xfId="0" applyFont="1" applyFill="1" applyBorder="1" applyAlignment="1">
      <alignment horizontal="center" vertical="center" wrapText="1"/>
    </xf>
    <xf numFmtId="0" fontId="16" fillId="12" borderId="43" xfId="0" applyFont="1" applyFill="1" applyBorder="1" applyAlignment="1">
      <alignment horizontal="center" vertical="center" wrapText="1"/>
    </xf>
    <xf numFmtId="0" fontId="15" fillId="13" borderId="45" xfId="0" applyFont="1" applyFill="1" applyBorder="1" applyAlignment="1">
      <alignment vertical="center" wrapText="1"/>
    </xf>
    <xf numFmtId="0" fontId="7" fillId="0" borderId="0" xfId="0" applyFont="1" applyAlignment="1">
      <alignment horizontal="center"/>
    </xf>
    <xf numFmtId="1" fontId="15" fillId="13" borderId="46" xfId="0" applyNumberFormat="1" applyFont="1" applyFill="1" applyBorder="1" applyAlignment="1">
      <alignment horizontal="center" vertical="center" wrapText="1"/>
    </xf>
    <xf numFmtId="10" fontId="23" fillId="0" borderId="0" xfId="9" applyNumberFormat="1"/>
    <xf numFmtId="2" fontId="28" fillId="0" borderId="39" xfId="9" applyNumberFormat="1" applyFont="1" applyBorder="1" applyAlignment="1">
      <alignment horizontal="right" vertical="center" wrapText="1"/>
    </xf>
    <xf numFmtId="0" fontId="7" fillId="15" borderId="0" xfId="0" applyFont="1" applyFill="1" applyAlignment="1">
      <alignment horizontal="left"/>
    </xf>
    <xf numFmtId="0" fontId="6" fillId="12" borderId="44" xfId="3" applyFill="1" applyBorder="1" applyAlignment="1" applyProtection="1">
      <alignment horizontal="center" vertical="center" wrapText="1"/>
    </xf>
    <xf numFmtId="0" fontId="6" fillId="0" borderId="47" xfId="3" applyBorder="1" applyAlignment="1" applyProtection="1">
      <alignment vertical="center" wrapText="1"/>
    </xf>
    <xf numFmtId="0" fontId="20" fillId="16" borderId="51" xfId="0" applyFont="1" applyFill="1" applyBorder="1" applyAlignment="1">
      <alignment vertical="center" wrapText="1"/>
    </xf>
    <xf numFmtId="0" fontId="30" fillId="16" borderId="51" xfId="0" applyFont="1" applyFill="1" applyBorder="1" applyAlignment="1">
      <alignment vertical="center" wrapText="1"/>
    </xf>
    <xf numFmtId="0" fontId="15" fillId="12" borderId="51" xfId="0" applyFont="1" applyFill="1" applyBorder="1" applyAlignment="1">
      <alignment vertical="center" wrapText="1"/>
    </xf>
    <xf numFmtId="0" fontId="15" fillId="0" borderId="51" xfId="0" applyFont="1" applyBorder="1" applyAlignment="1">
      <alignment vertical="center" wrapText="1"/>
    </xf>
    <xf numFmtId="0" fontId="15" fillId="0" borderId="51" xfId="0" applyFont="1" applyBorder="1" applyAlignment="1">
      <alignment horizontal="center" vertical="center" wrapText="1"/>
    </xf>
    <xf numFmtId="0" fontId="19" fillId="0" borderId="51" xfId="0" applyFont="1" applyBorder="1" applyAlignment="1">
      <alignment horizontal="center" vertical="center" wrapText="1"/>
    </xf>
    <xf numFmtId="0" fontId="15" fillId="0" borderId="0" xfId="0" applyFont="1" applyAlignment="1">
      <alignment vertical="center"/>
    </xf>
    <xf numFmtId="2" fontId="7" fillId="0" borderId="0" xfId="0" applyNumberFormat="1" applyFont="1"/>
    <xf numFmtId="0" fontId="12" fillId="0" borderId="48" xfId="0" applyFont="1" applyBorder="1" applyAlignment="1">
      <alignment horizontal="center" vertical="center" wrapText="1"/>
    </xf>
    <xf numFmtId="0" fontId="12" fillId="13" borderId="48" xfId="0" applyFont="1" applyFill="1" applyBorder="1" applyAlignment="1">
      <alignment horizontal="center" vertical="center" wrapText="1"/>
    </xf>
    <xf numFmtId="2" fontId="12" fillId="0" borderId="48" xfId="0" applyNumberFormat="1" applyFont="1" applyBorder="1" applyAlignment="1">
      <alignment horizontal="center" vertical="center" wrapText="1"/>
    </xf>
    <xf numFmtId="2" fontId="12" fillId="13" borderId="48" xfId="0" applyNumberFormat="1" applyFont="1" applyFill="1" applyBorder="1" applyAlignment="1">
      <alignment horizontal="center" vertical="center" wrapText="1"/>
    </xf>
    <xf numFmtId="0" fontId="32" fillId="0" borderId="48" xfId="0" applyFont="1" applyBorder="1" applyAlignment="1">
      <alignment horizontal="center" vertical="center" wrapText="1"/>
    </xf>
    <xf numFmtId="0" fontId="32" fillId="13" borderId="48" xfId="0" applyFont="1" applyFill="1" applyBorder="1" applyAlignment="1">
      <alignment horizontal="center" vertical="center" wrapText="1"/>
    </xf>
    <xf numFmtId="1" fontId="12" fillId="0" borderId="48" xfId="0" applyNumberFormat="1" applyFont="1" applyBorder="1" applyAlignment="1">
      <alignment horizontal="center" vertical="center" wrapText="1"/>
    </xf>
    <xf numFmtId="0" fontId="0" fillId="18" borderId="0" xfId="0" applyFill="1"/>
    <xf numFmtId="0" fontId="0" fillId="0" borderId="0" xfId="0" applyAlignment="1">
      <alignment vertical="center"/>
    </xf>
    <xf numFmtId="0" fontId="8" fillId="0" borderId="0" xfId="0" applyFont="1" applyAlignment="1">
      <alignment vertical="center"/>
    </xf>
    <xf numFmtId="0" fontId="16" fillId="0" borderId="0" xfId="0" applyFont="1" applyAlignment="1">
      <alignment vertical="center"/>
    </xf>
    <xf numFmtId="0" fontId="15" fillId="11" borderId="0" xfId="0" applyFont="1" applyFill="1" applyAlignment="1">
      <alignment vertical="center"/>
    </xf>
    <xf numFmtId="0" fontId="16" fillId="0" borderId="60" xfId="0" applyFont="1" applyBorder="1" applyAlignment="1">
      <alignment horizontal="left" vertical="center"/>
    </xf>
    <xf numFmtId="0" fontId="15" fillId="0" borderId="61" xfId="0" applyFont="1" applyBorder="1" applyAlignment="1">
      <alignment vertical="center"/>
    </xf>
    <xf numFmtId="0" fontId="15" fillId="0" borderId="62" xfId="0" applyFont="1" applyBorder="1" applyAlignment="1">
      <alignment vertical="center"/>
    </xf>
    <xf numFmtId="0" fontId="15" fillId="19" borderId="0" xfId="0" applyFont="1" applyFill="1" applyAlignment="1">
      <alignment vertical="center"/>
    </xf>
    <xf numFmtId="0" fontId="16" fillId="0" borderId="63" xfId="0" applyFont="1" applyBorder="1" applyAlignment="1">
      <alignment horizontal="left" vertical="center"/>
    </xf>
    <xf numFmtId="176" fontId="15" fillId="0" borderId="0" xfId="0" applyNumberFormat="1" applyFont="1" applyAlignment="1">
      <alignment vertical="center"/>
    </xf>
    <xf numFmtId="175" fontId="15" fillId="0" borderId="0" xfId="0" applyNumberFormat="1" applyFont="1" applyAlignment="1">
      <alignment vertical="center"/>
    </xf>
    <xf numFmtId="174" fontId="15" fillId="0" borderId="0" xfId="0" applyNumberFormat="1" applyFont="1" applyAlignment="1">
      <alignment vertical="center"/>
    </xf>
    <xf numFmtId="2" fontId="15" fillId="0" borderId="0" xfId="0" applyNumberFormat="1" applyFont="1" applyAlignment="1">
      <alignment vertical="center"/>
    </xf>
    <xf numFmtId="0" fontId="15" fillId="0" borderId="64" xfId="0" applyFont="1" applyBorder="1" applyAlignment="1">
      <alignment vertical="center"/>
    </xf>
    <xf numFmtId="0" fontId="8" fillId="0" borderId="63" xfId="0" applyFont="1" applyBorder="1" applyAlignment="1">
      <alignment vertical="center"/>
    </xf>
    <xf numFmtId="0" fontId="21" fillId="0" borderId="0" xfId="3" applyFont="1" applyBorder="1" applyAlignment="1" applyProtection="1"/>
    <xf numFmtId="0" fontId="16" fillId="0" borderId="63" xfId="0" applyFont="1" applyBorder="1" applyAlignment="1">
      <alignment vertical="center"/>
    </xf>
    <xf numFmtId="0" fontId="15" fillId="8" borderId="12" xfId="0" applyFont="1" applyFill="1" applyBorder="1" applyAlignment="1">
      <alignment horizontal="center" vertical="center" wrapText="1"/>
    </xf>
    <xf numFmtId="0" fontId="15" fillId="8" borderId="13" xfId="0" applyFont="1" applyFill="1" applyBorder="1" applyAlignment="1">
      <alignment horizontal="center" vertical="center"/>
    </xf>
    <xf numFmtId="0" fontId="15" fillId="8" borderId="14" xfId="0" applyFont="1" applyFill="1" applyBorder="1" applyAlignment="1">
      <alignment horizontal="center" vertical="center" wrapText="1"/>
    </xf>
    <xf numFmtId="0" fontId="15" fillId="8" borderId="12" xfId="0" applyFont="1" applyFill="1" applyBorder="1" applyAlignment="1">
      <alignment horizontal="center" vertical="center"/>
    </xf>
    <xf numFmtId="0" fontId="15" fillId="8" borderId="14" xfId="0" applyFont="1" applyFill="1" applyBorder="1" applyAlignment="1">
      <alignment horizontal="center" vertical="center"/>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7" borderId="12" xfId="0" applyFont="1" applyFill="1" applyBorder="1" applyAlignment="1">
      <alignment horizontal="center" vertical="center"/>
    </xf>
    <xf numFmtId="0" fontId="15" fillId="7" borderId="13" xfId="0" applyFont="1" applyFill="1" applyBorder="1" applyAlignment="1">
      <alignment horizontal="center" vertical="center"/>
    </xf>
    <xf numFmtId="0" fontId="15" fillId="7" borderId="14" xfId="0" applyFont="1" applyFill="1" applyBorder="1" applyAlignment="1">
      <alignment horizontal="center" vertical="center"/>
    </xf>
    <xf numFmtId="0" fontId="15" fillId="0" borderId="0" xfId="0" applyFont="1" applyAlignment="1">
      <alignment horizontal="center" vertical="center"/>
    </xf>
    <xf numFmtId="2" fontId="15" fillId="0" borderId="15" xfId="0" applyNumberFormat="1" applyFont="1" applyBorder="1" applyAlignment="1">
      <alignment horizontal="center" vertical="center"/>
    </xf>
    <xf numFmtId="2" fontId="15" fillId="0" borderId="16" xfId="0" applyNumberFormat="1" applyFont="1" applyBorder="1" applyAlignment="1">
      <alignment horizontal="center" vertical="center"/>
    </xf>
    <xf numFmtId="2" fontId="15" fillId="0" borderId="17" xfId="0" applyNumberFormat="1" applyFont="1" applyBorder="1" applyAlignment="1">
      <alignment horizontal="center" vertical="center"/>
    </xf>
    <xf numFmtId="0" fontId="6" fillId="0" borderId="0" xfId="3" applyBorder="1" applyAlignment="1" applyProtection="1">
      <alignment vertical="center"/>
    </xf>
    <xf numFmtId="0" fontId="16" fillId="0" borderId="65" xfId="0" applyFont="1" applyBorder="1" applyAlignment="1">
      <alignment vertical="center"/>
    </xf>
    <xf numFmtId="176" fontId="15" fillId="0" borderId="66" xfId="0" applyNumberFormat="1" applyFont="1" applyBorder="1" applyAlignment="1">
      <alignment vertical="center"/>
    </xf>
    <xf numFmtId="0" fontId="15" fillId="0" borderId="66" xfId="0" applyFont="1" applyBorder="1" applyAlignment="1">
      <alignment vertical="center"/>
    </xf>
    <xf numFmtId="174" fontId="15" fillId="0" borderId="66" xfId="0" applyNumberFormat="1" applyFont="1" applyBorder="1" applyAlignment="1">
      <alignment vertical="center"/>
    </xf>
    <xf numFmtId="0" fontId="6" fillId="0" borderId="66" xfId="3" applyBorder="1" applyAlignment="1" applyProtection="1">
      <alignment vertical="center"/>
    </xf>
    <xf numFmtId="0" fontId="15" fillId="0" borderId="67" xfId="0" applyFont="1" applyBorder="1" applyAlignment="1">
      <alignment vertical="center"/>
    </xf>
    <xf numFmtId="0" fontId="15" fillId="0" borderId="18" xfId="0" applyFont="1" applyBorder="1" applyAlignment="1">
      <alignment horizontal="center" vertical="center"/>
    </xf>
    <xf numFmtId="2" fontId="15" fillId="0" borderId="19" xfId="0" applyNumberFormat="1" applyFont="1" applyBorder="1" applyAlignment="1">
      <alignment horizontal="center" vertical="center"/>
    </xf>
    <xf numFmtId="2" fontId="15" fillId="0" borderId="20" xfId="0" applyNumberFormat="1" applyFont="1" applyBorder="1" applyAlignment="1">
      <alignment horizontal="center" vertical="center"/>
    </xf>
    <xf numFmtId="2" fontId="15" fillId="0" borderId="21" xfId="0" applyNumberFormat="1" applyFont="1" applyBorder="1" applyAlignment="1">
      <alignment horizontal="center" vertical="center"/>
    </xf>
    <xf numFmtId="0" fontId="16" fillId="0" borderId="61" xfId="0" applyFont="1" applyBorder="1" applyAlignment="1">
      <alignment vertical="center"/>
    </xf>
    <xf numFmtId="2" fontId="15" fillId="0" borderId="22" xfId="0" applyNumberFormat="1" applyFont="1" applyBorder="1" applyAlignment="1">
      <alignment horizontal="center" vertical="center"/>
    </xf>
    <xf numFmtId="2" fontId="15" fillId="0" borderId="23" xfId="0" applyNumberFormat="1" applyFont="1" applyBorder="1" applyAlignment="1">
      <alignment horizontal="center" vertical="center"/>
    </xf>
    <xf numFmtId="2" fontId="15" fillId="0" borderId="24" xfId="0" applyNumberFormat="1" applyFont="1" applyBorder="1" applyAlignment="1">
      <alignment horizontal="center" vertical="center"/>
    </xf>
    <xf numFmtId="0" fontId="15" fillId="0" borderId="63" xfId="0" applyFont="1" applyBorder="1" applyAlignment="1">
      <alignment vertical="center"/>
    </xf>
    <xf numFmtId="0" fontId="21" fillId="0" borderId="0" xfId="3" applyFont="1" applyBorder="1" applyAlignment="1" applyProtection="1">
      <alignment vertical="center"/>
    </xf>
    <xf numFmtId="0" fontId="22" fillId="0" borderId="0" xfId="0" applyFont="1" applyAlignment="1">
      <alignment vertical="center"/>
    </xf>
    <xf numFmtId="0" fontId="15" fillId="6" borderId="25" xfId="0" applyFont="1" applyFill="1" applyBorder="1" applyAlignment="1">
      <alignment horizontal="center" vertical="center"/>
    </xf>
    <xf numFmtId="0" fontId="15" fillId="6" borderId="26" xfId="0" applyFont="1" applyFill="1" applyBorder="1" applyAlignment="1">
      <alignment horizontal="center" vertical="center"/>
    </xf>
    <xf numFmtId="0" fontId="15" fillId="6" borderId="27" xfId="0" applyFont="1" applyFill="1" applyBorder="1" applyAlignment="1">
      <alignment horizontal="center" vertical="center"/>
    </xf>
    <xf numFmtId="0" fontId="15" fillId="6" borderId="28" xfId="0" applyFont="1" applyFill="1" applyBorder="1" applyAlignment="1">
      <alignment horizontal="center" vertical="center"/>
    </xf>
    <xf numFmtId="0" fontId="15" fillId="9" borderId="29" xfId="0" applyFont="1" applyFill="1" applyBorder="1" applyAlignment="1">
      <alignment horizontal="center" vertical="center"/>
    </xf>
    <xf numFmtId="0" fontId="16" fillId="0" borderId="65" xfId="0" applyFont="1" applyBorder="1"/>
    <xf numFmtId="0" fontId="15" fillId="0" borderId="30" xfId="0" applyFont="1" applyBorder="1" applyAlignment="1">
      <alignment horizontal="center" vertical="center"/>
    </xf>
    <xf numFmtId="2" fontId="15" fillId="9" borderId="29" xfId="0" applyNumberFormat="1" applyFont="1" applyFill="1" applyBorder="1" applyAlignment="1">
      <alignment horizontal="center" vertical="center"/>
    </xf>
    <xf numFmtId="2" fontId="15" fillId="0" borderId="30" xfId="0" applyNumberFormat="1" applyFont="1" applyBorder="1" applyAlignment="1">
      <alignment horizontal="center" vertical="center"/>
    </xf>
    <xf numFmtId="175" fontId="15" fillId="9" borderId="29" xfId="0" applyNumberFormat="1" applyFont="1" applyFill="1" applyBorder="1" applyAlignment="1">
      <alignment horizontal="center" vertical="center"/>
    </xf>
    <xf numFmtId="0" fontId="15" fillId="0" borderId="31" xfId="0" applyFont="1" applyBorder="1" applyAlignment="1">
      <alignment horizontal="center" vertical="center"/>
    </xf>
    <xf numFmtId="175" fontId="15" fillId="0" borderId="31" xfId="0" applyNumberFormat="1" applyFont="1" applyBorder="1" applyAlignment="1">
      <alignment horizontal="center" vertical="center"/>
    </xf>
    <xf numFmtId="0" fontId="16" fillId="0" borderId="0" xfId="0" applyFont="1"/>
    <xf numFmtId="0" fontId="16" fillId="0" borderId="63" xfId="0" applyFont="1" applyBorder="1"/>
    <xf numFmtId="2" fontId="15" fillId="20" borderId="15" xfId="0" applyNumberFormat="1" applyFont="1" applyFill="1" applyBorder="1" applyAlignment="1">
      <alignment horizontal="center" vertical="center"/>
    </xf>
    <xf numFmtId="2" fontId="15" fillId="20" borderId="17" xfId="0" applyNumberFormat="1" applyFont="1" applyFill="1" applyBorder="1" applyAlignment="1">
      <alignment horizontal="center" vertical="center"/>
    </xf>
    <xf numFmtId="2" fontId="15" fillId="20" borderId="16" xfId="0" applyNumberFormat="1" applyFont="1" applyFill="1" applyBorder="1" applyAlignment="1">
      <alignment horizontal="center" vertical="center"/>
    </xf>
    <xf numFmtId="2" fontId="15" fillId="20" borderId="30" xfId="0" applyNumberFormat="1" applyFont="1" applyFill="1" applyBorder="1" applyAlignment="1">
      <alignment horizontal="center" vertical="center"/>
    </xf>
    <xf numFmtId="0" fontId="16" fillId="21" borderId="68" xfId="0" applyFont="1" applyFill="1" applyBorder="1"/>
    <xf numFmtId="0" fontId="15" fillId="21" borderId="69" xfId="0" applyFont="1" applyFill="1" applyBorder="1" applyAlignment="1">
      <alignment vertical="center"/>
    </xf>
    <xf numFmtId="0" fontId="15" fillId="21" borderId="69" xfId="0" applyFont="1" applyFill="1" applyBorder="1"/>
    <xf numFmtId="0" fontId="15" fillId="21" borderId="70" xfId="0" applyFont="1" applyFill="1" applyBorder="1" applyAlignment="1">
      <alignment vertical="center"/>
    </xf>
    <xf numFmtId="0" fontId="16" fillId="21" borderId="71" xfId="0" applyFont="1" applyFill="1" applyBorder="1"/>
    <xf numFmtId="0" fontId="15" fillId="21" borderId="0" xfId="0" applyFont="1" applyFill="1" applyAlignment="1">
      <alignment vertical="center"/>
    </xf>
    <xf numFmtId="0" fontId="15" fillId="21" borderId="0" xfId="0" applyFont="1" applyFill="1"/>
    <xf numFmtId="0" fontId="15" fillId="21" borderId="72" xfId="0" applyFont="1" applyFill="1" applyBorder="1" applyAlignment="1">
      <alignment vertical="center"/>
    </xf>
    <xf numFmtId="0" fontId="16" fillId="21" borderId="71" xfId="0" applyFont="1" applyFill="1" applyBorder="1" applyAlignment="1">
      <alignment vertical="center"/>
    </xf>
    <xf numFmtId="0" fontId="15" fillId="21" borderId="0" xfId="0" applyFont="1" applyFill="1" applyAlignment="1">
      <alignment horizontal="left" indent="1"/>
    </xf>
    <xf numFmtId="0" fontId="15" fillId="21" borderId="0" xfId="0" applyFont="1" applyFill="1" applyAlignment="1">
      <alignment horizontal="right"/>
    </xf>
    <xf numFmtId="0" fontId="15" fillId="21" borderId="71" xfId="0" applyFont="1" applyFill="1" applyBorder="1" applyAlignment="1">
      <alignment horizontal="left" indent="1"/>
    </xf>
    <xf numFmtId="0" fontId="15" fillId="21" borderId="71" xfId="0" applyFont="1" applyFill="1" applyBorder="1" applyAlignment="1">
      <alignment vertical="center"/>
    </xf>
    <xf numFmtId="0" fontId="15" fillId="21" borderId="73" xfId="0" applyFont="1" applyFill="1" applyBorder="1" applyAlignment="1">
      <alignment vertical="center"/>
    </xf>
    <xf numFmtId="0" fontId="15" fillId="21" borderId="74" xfId="0" applyFont="1" applyFill="1" applyBorder="1" applyAlignment="1">
      <alignment horizontal="left" indent="1"/>
    </xf>
    <xf numFmtId="0" fontId="15" fillId="21" borderId="74" xfId="0" applyFont="1" applyFill="1" applyBorder="1" applyAlignment="1">
      <alignment horizontal="right"/>
    </xf>
    <xf numFmtId="0" fontId="15" fillId="21" borderId="74" xfId="0" applyFont="1" applyFill="1" applyBorder="1"/>
    <xf numFmtId="0" fontId="15" fillId="21" borderId="74" xfId="0" applyFont="1" applyFill="1" applyBorder="1" applyAlignment="1">
      <alignment vertical="center"/>
    </xf>
    <xf numFmtId="0" fontId="15" fillId="21" borderId="75" xfId="0" applyFont="1" applyFill="1" applyBorder="1" applyAlignment="1">
      <alignment vertical="center"/>
    </xf>
    <xf numFmtId="0" fontId="15" fillId="20" borderId="0" xfId="0" applyFont="1" applyFill="1" applyAlignment="1">
      <alignment horizontal="center" vertical="center"/>
    </xf>
    <xf numFmtId="0" fontId="15" fillId="20" borderId="30" xfId="0" applyFont="1" applyFill="1" applyBorder="1" applyAlignment="1">
      <alignment horizontal="center" vertical="center"/>
    </xf>
    <xf numFmtId="0" fontId="35" fillId="0" borderId="32" xfId="7" applyFont="1" applyBorder="1" applyAlignment="1">
      <alignment horizontal="center" vertical="center" wrapText="1"/>
    </xf>
    <xf numFmtId="0" fontId="12" fillId="0" borderId="47" xfId="0" applyFont="1" applyBorder="1" applyAlignment="1">
      <alignment vertical="center"/>
    </xf>
    <xf numFmtId="0" fontId="12" fillId="0" borderId="48" xfId="0" applyFont="1" applyBorder="1" applyAlignment="1">
      <alignment horizontal="center" vertical="center"/>
    </xf>
    <xf numFmtId="0" fontId="12" fillId="13" borderId="47" xfId="0" applyFont="1" applyFill="1" applyBorder="1" applyAlignment="1">
      <alignment vertical="center"/>
    </xf>
    <xf numFmtId="0" fontId="12" fillId="0" borderId="45" xfId="0" applyFont="1" applyBorder="1" applyAlignment="1">
      <alignment vertical="center" wrapText="1"/>
    </xf>
    <xf numFmtId="0" fontId="6" fillId="0" borderId="0" xfId="3" applyAlignment="1" applyProtection="1">
      <alignment horizontal="left" vertical="center" indent="1"/>
    </xf>
    <xf numFmtId="0" fontId="12" fillId="13" borderId="48" xfId="0" applyFont="1" applyFill="1" applyBorder="1" applyAlignment="1">
      <alignment horizontal="right" vertical="center"/>
    </xf>
    <xf numFmtId="0" fontId="12" fillId="0" borderId="46" xfId="0" applyFont="1" applyBorder="1" applyAlignment="1">
      <alignment horizontal="right" vertical="center"/>
    </xf>
    <xf numFmtId="177" fontId="12" fillId="13" borderId="48" xfId="1" applyNumberFormat="1" applyFont="1" applyFill="1" applyBorder="1" applyAlignment="1">
      <alignment horizontal="center" vertical="center"/>
    </xf>
    <xf numFmtId="177" fontId="12" fillId="0" borderId="46" xfId="1" applyNumberFormat="1" applyFont="1" applyBorder="1" applyAlignment="1">
      <alignment horizontal="center" vertical="center"/>
    </xf>
    <xf numFmtId="0" fontId="36" fillId="0" borderId="0" xfId="0" applyFont="1"/>
    <xf numFmtId="0" fontId="16" fillId="12" borderId="44" xfId="0" applyFont="1" applyFill="1" applyBorder="1" applyAlignment="1">
      <alignment horizontal="center" vertical="center" wrapText="1"/>
    </xf>
    <xf numFmtId="0" fontId="41" fillId="12" borderId="49" xfId="0" applyFont="1" applyFill="1" applyBorder="1" applyAlignment="1">
      <alignment vertical="center" wrapText="1"/>
    </xf>
    <xf numFmtId="0" fontId="41" fillId="12" borderId="44" xfId="0" applyFont="1" applyFill="1" applyBorder="1" applyAlignment="1">
      <alignment horizontal="center" vertical="center" wrapText="1"/>
    </xf>
    <xf numFmtId="0" fontId="42" fillId="0" borderId="49" xfId="0" applyFont="1" applyBorder="1" applyAlignment="1">
      <alignment vertical="center" wrapText="1"/>
    </xf>
    <xf numFmtId="0" fontId="42" fillId="0" borderId="50" xfId="0" applyFont="1" applyBorder="1" applyAlignment="1">
      <alignment horizontal="center" vertical="center" wrapText="1"/>
    </xf>
    <xf numFmtId="0" fontId="42" fillId="13" borderId="47" xfId="0" applyFont="1" applyFill="1" applyBorder="1" applyAlignment="1">
      <alignment vertical="center" wrapText="1"/>
    </xf>
    <xf numFmtId="0" fontId="42" fillId="13" borderId="48" xfId="0" applyFont="1" applyFill="1" applyBorder="1" applyAlignment="1">
      <alignment horizontal="center" vertical="center" wrapText="1"/>
    </xf>
    <xf numFmtId="0" fontId="42" fillId="0" borderId="45" xfId="0" applyFont="1" applyBorder="1" applyAlignment="1">
      <alignment vertical="center" wrapText="1"/>
    </xf>
    <xf numFmtId="0" fontId="42" fillId="0" borderId="46" xfId="0" applyFont="1" applyBorder="1" applyAlignment="1">
      <alignment horizontal="center" vertical="center" wrapText="1"/>
    </xf>
    <xf numFmtId="0" fontId="16" fillId="10" borderId="83" xfId="7" applyFont="1" applyFill="1" applyBorder="1" applyAlignment="1">
      <alignment horizontal="center" vertical="center" wrapText="1"/>
    </xf>
    <xf numFmtId="0" fontId="16" fillId="10" borderId="51" xfId="7" applyFont="1" applyFill="1" applyBorder="1" applyAlignment="1">
      <alignment horizontal="center" vertical="center" wrapText="1"/>
    </xf>
    <xf numFmtId="0" fontId="16" fillId="10" borderId="84" xfId="7" applyFont="1" applyFill="1" applyBorder="1" applyAlignment="1">
      <alignment horizontal="center" vertical="center" wrapText="1"/>
    </xf>
    <xf numFmtId="0" fontId="15" fillId="9" borderId="83" xfId="7" applyFont="1" applyFill="1" applyBorder="1" applyAlignment="1">
      <alignment horizontal="center" vertical="center" wrapText="1"/>
    </xf>
    <xf numFmtId="0" fontId="15" fillId="9" borderId="51" xfId="7" applyFont="1" applyFill="1" applyBorder="1" applyAlignment="1">
      <alignment horizontal="center" vertical="center" wrapText="1"/>
    </xf>
    <xf numFmtId="0" fontId="15" fillId="9" borderId="84" xfId="7" applyFont="1" applyFill="1" applyBorder="1" applyAlignment="1">
      <alignment horizontal="center" vertical="center" wrapText="1"/>
    </xf>
    <xf numFmtId="0" fontId="15" fillId="0" borderId="83" xfId="7" applyFont="1" applyBorder="1" applyAlignment="1">
      <alignment horizontal="center" vertical="center" wrapText="1"/>
    </xf>
    <xf numFmtId="0" fontId="15" fillId="0" borderId="51" xfId="7" applyFont="1" applyBorder="1" applyAlignment="1">
      <alignment horizontal="center" vertical="center" wrapText="1"/>
    </xf>
    <xf numFmtId="0" fontId="15" fillId="0" borderId="84" xfId="7" applyFont="1" applyBorder="1" applyAlignment="1">
      <alignment horizontal="center" vertical="center" wrapText="1"/>
    </xf>
    <xf numFmtId="0" fontId="15" fillId="9" borderId="85" xfId="7" applyFont="1" applyFill="1" applyBorder="1" applyAlignment="1">
      <alignment horizontal="center" vertical="center" wrapText="1"/>
    </xf>
    <xf numFmtId="0" fontId="15" fillId="9" borderId="86" xfId="7" applyFont="1" applyFill="1" applyBorder="1" applyAlignment="1">
      <alignment horizontal="center" vertical="center" wrapText="1"/>
    </xf>
    <xf numFmtId="0" fontId="15" fillId="9" borderId="87" xfId="7" applyFont="1" applyFill="1" applyBorder="1" applyAlignment="1">
      <alignment horizontal="center" vertical="center" wrapText="1"/>
    </xf>
    <xf numFmtId="0" fontId="15" fillId="0" borderId="88" xfId="7" applyFont="1" applyBorder="1" applyAlignment="1">
      <alignment horizontal="center" vertical="center" wrapText="1"/>
    </xf>
    <xf numFmtId="0" fontId="15" fillId="0" borderId="89" xfId="7" applyFont="1" applyBorder="1" applyAlignment="1">
      <alignment horizontal="center" vertical="center" wrapText="1"/>
    </xf>
    <xf numFmtId="0" fontId="15" fillId="0" borderId="90" xfId="7" applyFont="1" applyBorder="1" applyAlignment="1">
      <alignment horizontal="center" vertical="center" wrapText="1"/>
    </xf>
    <xf numFmtId="0" fontId="6" fillId="0" borderId="0" xfId="3" applyBorder="1" applyAlignment="1" applyProtection="1"/>
    <xf numFmtId="175" fontId="15" fillId="9" borderId="51" xfId="7" applyNumberFormat="1" applyFont="1" applyFill="1" applyBorder="1" applyAlignment="1">
      <alignment horizontal="center" vertical="center" wrapText="1"/>
    </xf>
    <xf numFmtId="175" fontId="15" fillId="0" borderId="51" xfId="7" applyNumberFormat="1" applyFont="1" applyBorder="1" applyAlignment="1">
      <alignment horizontal="center" vertical="center" wrapText="1"/>
    </xf>
    <xf numFmtId="4" fontId="7" fillId="0" borderId="0" xfId="0" applyNumberFormat="1" applyFont="1"/>
    <xf numFmtId="0" fontId="15" fillId="0" borderId="49" xfId="0" applyFont="1" applyBorder="1" applyAlignment="1">
      <alignment horizontal="center" vertical="center" wrapText="1"/>
    </xf>
    <xf numFmtId="0" fontId="15" fillId="13" borderId="47" xfId="0" applyFont="1" applyFill="1" applyBorder="1" applyAlignment="1">
      <alignment horizontal="center" vertical="center" wrapText="1"/>
    </xf>
    <xf numFmtId="0" fontId="15" fillId="0" borderId="45" xfId="0" applyFont="1" applyBorder="1" applyAlignment="1">
      <alignment horizontal="center" vertical="center" wrapText="1"/>
    </xf>
    <xf numFmtId="0" fontId="6" fillId="12" borderId="43" xfId="3" applyFill="1" applyBorder="1" applyAlignment="1" applyProtection="1">
      <alignment horizontal="center" vertical="center" wrapText="1"/>
    </xf>
    <xf numFmtId="175" fontId="15" fillId="0" borderId="46" xfId="0" applyNumberFormat="1" applyFont="1" applyBorder="1" applyAlignment="1">
      <alignment horizontal="center" vertical="center" wrapText="1"/>
    </xf>
    <xf numFmtId="175" fontId="15" fillId="13" borderId="46" xfId="0" applyNumberFormat="1" applyFont="1" applyFill="1" applyBorder="1" applyAlignment="1">
      <alignment horizontal="center" vertical="center" wrapText="1"/>
    </xf>
    <xf numFmtId="0" fontId="15" fillId="0" borderId="48" xfId="0" applyFont="1" applyBorder="1" applyAlignment="1">
      <alignment horizontal="right" vertical="center" wrapText="1"/>
    </xf>
    <xf numFmtId="0" fontId="15" fillId="13" borderId="48" xfId="0" applyFont="1" applyFill="1" applyBorder="1" applyAlignment="1">
      <alignment horizontal="right" vertical="center" wrapText="1"/>
    </xf>
    <xf numFmtId="1" fontId="15" fillId="0" borderId="48" xfId="0" applyNumberFormat="1" applyFont="1" applyBorder="1" applyAlignment="1">
      <alignment horizontal="right" vertical="center" wrapText="1"/>
    </xf>
    <xf numFmtId="0" fontId="3" fillId="0" borderId="48" xfId="0" applyFont="1" applyBorder="1" applyAlignment="1">
      <alignment horizontal="center" vertical="center" wrapText="1"/>
    </xf>
    <xf numFmtId="0" fontId="3" fillId="13" borderId="45" xfId="0" applyFont="1" applyFill="1" applyBorder="1" applyAlignment="1">
      <alignment vertical="center" wrapText="1"/>
    </xf>
    <xf numFmtId="179" fontId="3" fillId="0" borderId="0" xfId="0" applyNumberFormat="1" applyFont="1" applyAlignment="1">
      <alignment vertical="center" wrapText="1"/>
    </xf>
    <xf numFmtId="179" fontId="3" fillId="0" borderId="48" xfId="0" applyNumberFormat="1" applyFont="1" applyBorder="1" applyAlignment="1">
      <alignment vertical="center" wrapText="1"/>
    </xf>
    <xf numFmtId="0" fontId="2" fillId="0" borderId="0" xfId="9" applyFont="1"/>
    <xf numFmtId="0" fontId="2" fillId="11" borderId="0" xfId="9" applyFont="1" applyFill="1"/>
    <xf numFmtId="0" fontId="44" fillId="0" borderId="0" xfId="9" applyFont="1"/>
    <xf numFmtId="0" fontId="2" fillId="22" borderId="0" xfId="9" applyFont="1" applyFill="1"/>
    <xf numFmtId="0" fontId="23" fillId="22" borderId="0" xfId="9" applyFill="1"/>
    <xf numFmtId="4" fontId="28" fillId="0" borderId="39" xfId="9" applyNumberFormat="1" applyFont="1" applyBorder="1" applyAlignment="1">
      <alignment horizontal="right" vertical="center" wrapText="1"/>
    </xf>
    <xf numFmtId="178" fontId="28" fillId="0" borderId="39" xfId="9" applyNumberFormat="1" applyFont="1" applyBorder="1" applyAlignment="1">
      <alignment horizontal="right" vertical="center" wrapText="1"/>
    </xf>
    <xf numFmtId="3" fontId="28" fillId="0" borderId="39" xfId="9" applyNumberFormat="1" applyFont="1" applyBorder="1" applyAlignment="1">
      <alignment horizontal="right" vertical="center" wrapText="1"/>
    </xf>
    <xf numFmtId="1" fontId="15" fillId="0" borderId="92" xfId="0" applyNumberFormat="1" applyFont="1" applyBorder="1" applyAlignment="1">
      <alignment horizontal="center" vertical="center" wrapText="1"/>
    </xf>
    <xf numFmtId="1" fontId="15" fillId="13" borderId="93" xfId="0" applyNumberFormat="1" applyFont="1" applyFill="1" applyBorder="1" applyAlignment="1">
      <alignment horizontal="center" vertical="center" wrapText="1"/>
    </xf>
    <xf numFmtId="1" fontId="15" fillId="0" borderId="93" xfId="0" applyNumberFormat="1" applyFont="1" applyBorder="1" applyAlignment="1">
      <alignment horizontal="center" vertical="center" wrapText="1"/>
    </xf>
    <xf numFmtId="1" fontId="15" fillId="13" borderId="10" xfId="0" applyNumberFormat="1" applyFont="1" applyFill="1" applyBorder="1" applyAlignment="1">
      <alignment horizontal="center" vertical="center" wrapText="1"/>
    </xf>
    <xf numFmtId="1" fontId="15" fillId="0" borderId="96" xfId="0" applyNumberFormat="1" applyFont="1" applyBorder="1" applyAlignment="1">
      <alignment horizontal="center" vertical="center" wrapText="1"/>
    </xf>
    <xf numFmtId="1" fontId="15" fillId="13" borderId="99" xfId="0" applyNumberFormat="1" applyFont="1" applyFill="1" applyBorder="1" applyAlignment="1">
      <alignment horizontal="center" vertical="center" wrapText="1"/>
    </xf>
    <xf numFmtId="1" fontId="15" fillId="0" borderId="99" xfId="0" applyNumberFormat="1" applyFont="1" applyBorder="1" applyAlignment="1">
      <alignment horizontal="center" vertical="center" wrapText="1"/>
    </xf>
    <xf numFmtId="1" fontId="15" fillId="13" borderId="9" xfId="0" applyNumberFormat="1" applyFont="1" applyFill="1" applyBorder="1" applyAlignment="1">
      <alignment horizontal="center" vertical="center" wrapText="1"/>
    </xf>
    <xf numFmtId="0" fontId="3" fillId="0" borderId="46" xfId="0" applyFont="1" applyBorder="1" applyAlignment="1">
      <alignment horizontal="center" vertical="center" wrapText="1"/>
    </xf>
    <xf numFmtId="0" fontId="3" fillId="13" borderId="46" xfId="0" applyFont="1" applyFill="1" applyBorder="1" applyAlignment="1">
      <alignment horizontal="center" vertical="center" wrapText="1"/>
    </xf>
    <xf numFmtId="0" fontId="3" fillId="0" borderId="45" xfId="0" applyFont="1" applyBorder="1" applyAlignment="1">
      <alignment vertical="center" wrapText="1"/>
    </xf>
    <xf numFmtId="175" fontId="3" fillId="0" borderId="46" xfId="0" applyNumberFormat="1" applyFont="1" applyBorder="1" applyAlignment="1">
      <alignment horizontal="center" vertical="center" wrapText="1"/>
    </xf>
    <xf numFmtId="0" fontId="31" fillId="12" borderId="100" xfId="0" applyFont="1" applyFill="1" applyBorder="1" applyAlignment="1">
      <alignment horizontal="center" vertical="center"/>
    </xf>
    <xf numFmtId="0" fontId="32" fillId="0" borderId="45" xfId="0" applyFont="1" applyBorder="1" applyAlignment="1">
      <alignment horizontal="center" vertical="center" wrapText="1"/>
    </xf>
    <xf numFmtId="0" fontId="32" fillId="13" borderId="45" xfId="0" applyFont="1" applyFill="1" applyBorder="1" applyAlignment="1">
      <alignment horizontal="center" vertical="center" wrapText="1"/>
    </xf>
    <xf numFmtId="0" fontId="31" fillId="12" borderId="58" xfId="0" applyFont="1" applyFill="1" applyBorder="1" applyAlignment="1">
      <alignment horizontal="center" vertical="center"/>
    </xf>
    <xf numFmtId="0" fontId="31" fillId="12" borderId="45" xfId="0" applyFont="1" applyFill="1" applyBorder="1" applyAlignment="1">
      <alignment horizontal="center" vertical="center"/>
    </xf>
    <xf numFmtId="3" fontId="32" fillId="13" borderId="46" xfId="0" applyNumberFormat="1" applyFont="1" applyFill="1" applyBorder="1" applyAlignment="1">
      <alignment horizontal="center" vertical="center" wrapText="1"/>
    </xf>
    <xf numFmtId="3" fontId="32" fillId="0" borderId="46" xfId="0" applyNumberFormat="1" applyFont="1" applyBorder="1" applyAlignment="1">
      <alignment horizontal="center" vertical="center" wrapText="1"/>
    </xf>
    <xf numFmtId="0" fontId="34" fillId="0" borderId="0" xfId="0" applyFont="1"/>
    <xf numFmtId="0" fontId="32" fillId="0" borderId="101" xfId="0" applyFont="1" applyBorder="1" applyAlignment="1">
      <alignment horizontal="center" vertical="center" wrapText="1"/>
    </xf>
    <xf numFmtId="3" fontId="12" fillId="0" borderId="101" xfId="0" applyNumberFormat="1" applyFont="1" applyBorder="1" applyAlignment="1">
      <alignment horizontal="center" vertical="center" wrapText="1"/>
    </xf>
    <xf numFmtId="0" fontId="32" fillId="13" borderId="101" xfId="0" applyFont="1" applyFill="1" applyBorder="1" applyAlignment="1">
      <alignment horizontal="center" vertical="center" wrapText="1"/>
    </xf>
    <xf numFmtId="3" fontId="12" fillId="13" borderId="101" xfId="0" applyNumberFormat="1" applyFont="1" applyFill="1" applyBorder="1" applyAlignment="1">
      <alignment horizontal="center" vertical="center" wrapText="1"/>
    </xf>
    <xf numFmtId="0" fontId="13" fillId="12" borderId="49" xfId="0" applyFont="1" applyFill="1" applyBorder="1" applyAlignment="1">
      <alignment vertical="center" wrapText="1"/>
    </xf>
    <xf numFmtId="0" fontId="13" fillId="12" borderId="45" xfId="0" applyFont="1" applyFill="1" applyBorder="1" applyAlignment="1">
      <alignment vertical="center" wrapText="1"/>
    </xf>
    <xf numFmtId="175" fontId="3" fillId="0" borderId="0" xfId="0" applyNumberFormat="1" applyFont="1" applyAlignment="1">
      <alignment horizontal="center" vertical="center" wrapText="1"/>
    </xf>
    <xf numFmtId="175" fontId="3" fillId="13" borderId="46" xfId="0" applyNumberFormat="1" applyFont="1" applyFill="1" applyBorder="1" applyAlignment="1">
      <alignment horizontal="center" vertical="center" wrapText="1"/>
    </xf>
    <xf numFmtId="10" fontId="0" fillId="0" borderId="0" xfId="10" applyNumberFormat="1" applyFont="1" applyBorder="1"/>
    <xf numFmtId="171" fontId="15" fillId="0" borderId="34" xfId="7" applyNumberFormat="1" applyFont="1" applyBorder="1" applyAlignment="1">
      <alignment horizontal="center" vertical="center" wrapText="1"/>
    </xf>
    <xf numFmtId="171" fontId="15" fillId="9" borderId="34" xfId="7" applyNumberFormat="1" applyFont="1" applyFill="1" applyBorder="1" applyAlignment="1">
      <alignment horizontal="center" vertical="center" wrapText="1"/>
    </xf>
    <xf numFmtId="171" fontId="35" fillId="0" borderId="34" xfId="7" applyNumberFormat="1" applyFont="1" applyBorder="1" applyAlignment="1">
      <alignment horizontal="center" vertical="center" wrapText="1"/>
    </xf>
    <xf numFmtId="0" fontId="3" fillId="0" borderId="0" xfId="0" applyFont="1" applyAlignment="1">
      <alignment vertical="center"/>
    </xf>
    <xf numFmtId="0" fontId="3" fillId="0" borderId="0" xfId="0" applyFont="1"/>
    <xf numFmtId="0" fontId="8" fillId="0" borderId="0" xfId="0" applyFont="1" applyAlignment="1">
      <alignment horizontal="center"/>
    </xf>
    <xf numFmtId="167" fontId="8" fillId="0" borderId="0" xfId="0" applyNumberFormat="1" applyFont="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4" fontId="46" fillId="0" borderId="79" xfId="11" applyNumberFormat="1" applyFont="1" applyBorder="1"/>
    <xf numFmtId="178" fontId="46" fillId="0" borderId="79" xfId="11" applyNumberFormat="1" applyFont="1" applyBorder="1"/>
    <xf numFmtId="0" fontId="47" fillId="9" borderId="0" xfId="0" applyFont="1" applyFill="1" applyAlignment="1">
      <alignment horizontal="left"/>
    </xf>
    <xf numFmtId="0" fontId="47" fillId="0" borderId="0" xfId="0" applyFont="1" applyAlignment="1">
      <alignment horizontal="left"/>
    </xf>
    <xf numFmtId="0" fontId="48" fillId="0" borderId="0" xfId="0" applyFont="1" applyAlignment="1">
      <alignment horizontal="left"/>
    </xf>
    <xf numFmtId="164" fontId="48" fillId="0" borderId="0" xfId="0" applyNumberFormat="1" applyFont="1" applyAlignment="1">
      <alignment horizontal="left"/>
    </xf>
    <xf numFmtId="164" fontId="48" fillId="5" borderId="6" xfId="0" applyNumberFormat="1" applyFont="1" applyFill="1" applyBorder="1" applyAlignment="1">
      <alignment vertical="top" wrapText="1"/>
    </xf>
    <xf numFmtId="164" fontId="48" fillId="0" borderId="0" xfId="0" applyNumberFormat="1" applyFont="1"/>
    <xf numFmtId="166" fontId="48" fillId="0" borderId="0" xfId="0" applyNumberFormat="1" applyFont="1"/>
    <xf numFmtId="0" fontId="47" fillId="2" borderId="1" xfId="0" applyFont="1" applyFill="1" applyBorder="1" applyAlignment="1">
      <alignment horizontal="left" vertical="top" wrapText="1"/>
    </xf>
    <xf numFmtId="0" fontId="48" fillId="5" borderId="1" xfId="0" applyFont="1" applyFill="1" applyBorder="1" applyAlignment="1">
      <alignment horizontal="left" vertical="top" wrapText="1"/>
    </xf>
    <xf numFmtId="1" fontId="48" fillId="5" borderId="1" xfId="0" applyNumberFormat="1" applyFont="1" applyFill="1" applyBorder="1" applyAlignment="1">
      <alignment horizontal="left" vertical="top" wrapText="1"/>
    </xf>
    <xf numFmtId="3" fontId="48" fillId="5" borderId="1" xfId="0" applyNumberFormat="1" applyFont="1" applyFill="1" applyBorder="1" applyAlignment="1">
      <alignment vertical="top" wrapText="1"/>
    </xf>
    <xf numFmtId="0" fontId="48" fillId="0" borderId="0" xfId="0" applyFont="1"/>
    <xf numFmtId="1" fontId="3" fillId="0" borderId="46" xfId="0" applyNumberFormat="1" applyFont="1" applyBorder="1" applyAlignment="1">
      <alignment horizontal="center" vertical="center" wrapText="1"/>
    </xf>
    <xf numFmtId="1" fontId="3" fillId="13" borderId="46" xfId="0" applyNumberFormat="1" applyFont="1" applyFill="1" applyBorder="1" applyAlignment="1">
      <alignment horizontal="center" vertical="center" wrapText="1"/>
    </xf>
    <xf numFmtId="0" fontId="49" fillId="12" borderId="108" xfId="0" applyFont="1" applyFill="1" applyBorder="1" applyAlignment="1">
      <alignment horizontal="center" vertical="center" wrapText="1"/>
    </xf>
    <xf numFmtId="0" fontId="49" fillId="12" borderId="8" xfId="0" applyFont="1" applyFill="1" applyBorder="1" applyAlignment="1">
      <alignment horizontal="center" vertical="center" wrapText="1"/>
    </xf>
    <xf numFmtId="0" fontId="50" fillId="0" borderId="110" xfId="0" applyFont="1" applyBorder="1" applyAlignment="1">
      <alignment horizontal="center" vertical="center" wrapText="1"/>
    </xf>
    <xf numFmtId="0" fontId="50" fillId="0" borderId="46" xfId="0" applyFont="1" applyBorder="1" applyAlignment="1">
      <alignment horizontal="center" vertical="center" wrapText="1"/>
    </xf>
    <xf numFmtId="3" fontId="50" fillId="0" borderId="111" xfId="0" applyNumberFormat="1" applyFont="1" applyBorder="1" applyAlignment="1">
      <alignment horizontal="center" vertical="center" wrapText="1"/>
    </xf>
    <xf numFmtId="0" fontId="50" fillId="13" borderId="110" xfId="0" applyFont="1" applyFill="1" applyBorder="1" applyAlignment="1">
      <alignment horizontal="center" vertical="center" wrapText="1"/>
    </xf>
    <xf numFmtId="0" fontId="50" fillId="13" borderId="46" xfId="0" applyFont="1" applyFill="1" applyBorder="1" applyAlignment="1">
      <alignment horizontal="center" vertical="center" wrapText="1"/>
    </xf>
    <xf numFmtId="3" fontId="50" fillId="13" borderId="111" xfId="0" applyNumberFormat="1" applyFont="1" applyFill="1" applyBorder="1" applyAlignment="1">
      <alignment horizontal="center" vertical="center" wrapText="1"/>
    </xf>
    <xf numFmtId="3" fontId="50" fillId="13" borderId="46" xfId="0" applyNumberFormat="1" applyFont="1" applyFill="1" applyBorder="1" applyAlignment="1">
      <alignment horizontal="center" vertical="center" wrapText="1"/>
    </xf>
    <xf numFmtId="3" fontId="50" fillId="0" borderId="46" xfId="0" applyNumberFormat="1" applyFont="1" applyBorder="1" applyAlignment="1">
      <alignment horizontal="center" vertical="center" wrapText="1"/>
    </xf>
    <xf numFmtId="0" fontId="50" fillId="0" borderId="111" xfId="0" applyFont="1" applyBorder="1" applyAlignment="1">
      <alignment horizontal="center" vertical="center" wrapText="1"/>
    </xf>
    <xf numFmtId="0" fontId="50" fillId="13" borderId="111" xfId="0" applyFont="1" applyFill="1" applyBorder="1" applyAlignment="1">
      <alignment horizontal="center" vertical="center" wrapText="1"/>
    </xf>
    <xf numFmtId="0" fontId="50" fillId="0" borderId="9" xfId="0" applyFont="1" applyBorder="1" applyAlignment="1">
      <alignment horizontal="center" vertical="center" wrapText="1"/>
    </xf>
    <xf numFmtId="0" fontId="50" fillId="0" borderId="109" xfId="0" applyFont="1" applyBorder="1" applyAlignment="1">
      <alignment horizontal="center" vertical="center" wrapText="1"/>
    </xf>
    <xf numFmtId="3" fontId="50" fillId="0" borderId="10" xfId="0" applyNumberFormat="1" applyFont="1" applyBorder="1" applyAlignment="1">
      <alignment horizontal="center" vertical="center" wrapText="1"/>
    </xf>
    <xf numFmtId="0" fontId="49" fillId="12" borderId="100" xfId="0" applyFont="1" applyFill="1" applyBorder="1" applyAlignment="1">
      <alignment horizontal="center" vertical="center"/>
    </xf>
    <xf numFmtId="0" fontId="49" fillId="12" borderId="58" xfId="0" applyFont="1" applyFill="1" applyBorder="1" applyAlignment="1">
      <alignment horizontal="center" vertical="center"/>
    </xf>
    <xf numFmtId="0" fontId="49" fillId="12" borderId="45" xfId="0" applyFont="1" applyFill="1" applyBorder="1" applyAlignment="1">
      <alignment horizontal="center" vertical="center"/>
    </xf>
    <xf numFmtId="0" fontId="50" fillId="0" borderId="45" xfId="0" applyFont="1" applyBorder="1" applyAlignment="1">
      <alignment horizontal="center" vertical="center" wrapText="1"/>
    </xf>
    <xf numFmtId="0" fontId="50" fillId="13" borderId="45" xfId="0" applyFont="1" applyFill="1" applyBorder="1" applyAlignment="1">
      <alignment horizontal="center" vertical="center" wrapText="1"/>
    </xf>
    <xf numFmtId="0" fontId="7" fillId="24" borderId="0" xfId="0" applyFont="1" applyFill="1"/>
    <xf numFmtId="0" fontId="0" fillId="24" borderId="0" xfId="0" applyFill="1"/>
    <xf numFmtId="0" fontId="6" fillId="24" borderId="0" xfId="3" applyFill="1" applyAlignment="1" applyProtection="1"/>
    <xf numFmtId="0" fontId="16" fillId="24" borderId="46" xfId="0" applyFont="1" applyFill="1" applyBorder="1" applyAlignment="1">
      <alignment horizontal="center" vertical="center" wrapText="1"/>
    </xf>
    <xf numFmtId="0" fontId="15" fillId="24" borderId="47" xfId="0" applyFont="1" applyFill="1" applyBorder="1" applyAlignment="1">
      <alignment vertical="center" wrapText="1"/>
    </xf>
    <xf numFmtId="0" fontId="15" fillId="24" borderId="48" xfId="0" applyFont="1" applyFill="1" applyBorder="1" applyAlignment="1">
      <alignment horizontal="center" vertical="center" wrapText="1"/>
    </xf>
    <xf numFmtId="0" fontId="15" fillId="24" borderId="45" xfId="0" applyFont="1" applyFill="1" applyBorder="1" applyAlignment="1">
      <alignment vertical="center" wrapText="1"/>
    </xf>
    <xf numFmtId="0" fontId="15" fillId="24" borderId="46" xfId="0" applyFont="1" applyFill="1" applyBorder="1" applyAlignment="1">
      <alignment horizontal="center" vertical="center" wrapText="1"/>
    </xf>
    <xf numFmtId="1" fontId="15" fillId="24" borderId="48" xfId="0" applyNumberFormat="1" applyFont="1" applyFill="1" applyBorder="1" applyAlignment="1">
      <alignment horizontal="center" vertical="center" wrapText="1"/>
    </xf>
    <xf numFmtId="1" fontId="15" fillId="24" borderId="46" xfId="0" applyNumberFormat="1" applyFont="1" applyFill="1" applyBorder="1" applyAlignment="1">
      <alignment horizontal="center" vertical="center" wrapText="1"/>
    </xf>
    <xf numFmtId="0" fontId="8" fillId="24" borderId="43" xfId="0" applyFont="1" applyFill="1" applyBorder="1" applyAlignment="1">
      <alignment horizontal="center" vertical="center" wrapText="1"/>
    </xf>
    <xf numFmtId="0" fontId="8" fillId="24" borderId="44" xfId="0" applyFont="1" applyFill="1" applyBorder="1" applyAlignment="1">
      <alignment horizontal="center" vertical="center" wrapText="1"/>
    </xf>
    <xf numFmtId="0" fontId="7" fillId="24" borderId="0" xfId="0" applyFont="1" applyFill="1" applyAlignment="1">
      <alignment horizontal="center" vertical="center" wrapText="1"/>
    </xf>
    <xf numFmtId="0" fontId="7" fillId="24" borderId="47" xfId="0" applyFont="1" applyFill="1" applyBorder="1" applyAlignment="1">
      <alignment horizontal="center" vertical="center" wrapText="1"/>
    </xf>
    <xf numFmtId="0" fontId="7" fillId="24" borderId="48" xfId="0" applyFont="1" applyFill="1" applyBorder="1" applyAlignment="1">
      <alignment vertical="center" wrapText="1"/>
    </xf>
    <xf numFmtId="0" fontId="7" fillId="24" borderId="48" xfId="0" applyFont="1" applyFill="1" applyBorder="1" applyAlignment="1">
      <alignment horizontal="center" vertical="center" wrapText="1"/>
    </xf>
    <xf numFmtId="0" fontId="16" fillId="24" borderId="7" xfId="0" applyFont="1" applyFill="1" applyBorder="1" applyAlignment="1">
      <alignment horizontal="center" vertical="center" wrapText="1"/>
    </xf>
    <xf numFmtId="0" fontId="16" fillId="24" borderId="8" xfId="0" applyFont="1" applyFill="1" applyBorder="1" applyAlignment="1">
      <alignment horizontal="center" vertical="center" wrapText="1"/>
    </xf>
    <xf numFmtId="0" fontId="15" fillId="24" borderId="9" xfId="0" applyFont="1" applyFill="1" applyBorder="1" applyAlignment="1">
      <alignment horizontal="justify" vertical="center" wrapText="1"/>
    </xf>
    <xf numFmtId="0" fontId="15" fillId="24" borderId="10" xfId="0" applyFont="1" applyFill="1" applyBorder="1" applyAlignment="1">
      <alignment horizontal="center" vertical="center" wrapText="1"/>
    </xf>
    <xf numFmtId="0" fontId="7" fillId="24" borderId="45" xfId="0" applyFont="1" applyFill="1" applyBorder="1" applyAlignment="1">
      <alignment horizontal="center" vertical="center" wrapText="1"/>
    </xf>
    <xf numFmtId="0" fontId="7" fillId="24" borderId="46" xfId="0" applyFont="1" applyFill="1" applyBorder="1" applyAlignment="1">
      <alignment vertical="center" wrapText="1"/>
    </xf>
    <xf numFmtId="0" fontId="7" fillId="24" borderId="46" xfId="0" applyFont="1" applyFill="1" applyBorder="1" applyAlignment="1">
      <alignment horizontal="center" vertical="center" wrapText="1"/>
    </xf>
    <xf numFmtId="1" fontId="7" fillId="24" borderId="48" xfId="0" applyNumberFormat="1" applyFont="1" applyFill="1" applyBorder="1" applyAlignment="1">
      <alignment horizontal="center" vertical="center" wrapText="1"/>
    </xf>
    <xf numFmtId="0" fontId="7" fillId="24" borderId="0" xfId="0" applyFont="1" applyFill="1" applyAlignment="1">
      <alignment horizontal="center"/>
    </xf>
    <xf numFmtId="0" fontId="16" fillId="24" borderId="43" xfId="0" applyFont="1" applyFill="1" applyBorder="1" applyAlignment="1">
      <alignment horizontal="center" vertical="center" wrapText="1"/>
    </xf>
    <xf numFmtId="0" fontId="16" fillId="24" borderId="44" xfId="0" applyFont="1" applyFill="1" applyBorder="1" applyAlignment="1">
      <alignment horizontal="center" vertical="center" wrapText="1"/>
    </xf>
    <xf numFmtId="1" fontId="7" fillId="24" borderId="46" xfId="0" applyNumberFormat="1" applyFont="1" applyFill="1" applyBorder="1" applyAlignment="1">
      <alignment horizontal="center" vertical="center" wrapText="1"/>
    </xf>
    <xf numFmtId="0" fontId="0" fillId="0" borderId="0" xfId="0" applyAlignment="1">
      <alignment horizontal="center"/>
    </xf>
    <xf numFmtId="0" fontId="15" fillId="13" borderId="0" xfId="0" applyFont="1" applyFill="1" applyAlignment="1">
      <alignment vertical="center" wrapText="1"/>
    </xf>
    <xf numFmtId="1" fontId="15" fillId="13" borderId="0" xfId="0" applyNumberFormat="1" applyFont="1" applyFill="1" applyAlignment="1">
      <alignment horizontal="center" vertical="center" wrapText="1"/>
    </xf>
    <xf numFmtId="0" fontId="52" fillId="25" borderId="113" xfId="0" applyFont="1" applyFill="1" applyBorder="1" applyAlignment="1">
      <alignment vertical="center" wrapText="1"/>
    </xf>
    <xf numFmtId="0" fontId="52" fillId="25" borderId="114" xfId="0" applyFont="1" applyFill="1" applyBorder="1" applyAlignment="1">
      <alignment horizontal="center" vertical="center" wrapText="1"/>
    </xf>
    <xf numFmtId="0" fontId="16" fillId="26" borderId="115" xfId="0" applyFont="1" applyFill="1" applyBorder="1" applyAlignment="1">
      <alignment vertical="center" wrapText="1"/>
    </xf>
    <xf numFmtId="0" fontId="3" fillId="26" borderId="116" xfId="0" applyFont="1" applyFill="1" applyBorder="1" applyAlignment="1">
      <alignment horizontal="center" vertical="center" wrapText="1"/>
    </xf>
    <xf numFmtId="0" fontId="16" fillId="26" borderId="117" xfId="0" applyFont="1" applyFill="1" applyBorder="1" applyAlignment="1">
      <alignment horizontal="center" vertical="center" wrapText="1"/>
    </xf>
    <xf numFmtId="0" fontId="16" fillId="0" borderId="115" xfId="0" applyFont="1" applyBorder="1" applyAlignment="1">
      <alignment vertical="center" wrapText="1"/>
    </xf>
    <xf numFmtId="0" fontId="3" fillId="0" borderId="116" xfId="0" applyFont="1" applyBorder="1" applyAlignment="1">
      <alignment horizontal="center" vertical="center" wrapText="1"/>
    </xf>
    <xf numFmtId="0" fontId="16" fillId="0" borderId="117" xfId="0" applyFont="1" applyBorder="1" applyAlignment="1">
      <alignment horizontal="center" vertical="center" wrapText="1"/>
    </xf>
    <xf numFmtId="0" fontId="16" fillId="0" borderId="118" xfId="0" applyFont="1" applyBorder="1" applyAlignment="1">
      <alignment vertical="center" wrapText="1"/>
    </xf>
    <xf numFmtId="0" fontId="3" fillId="0" borderId="119" xfId="0" applyFont="1" applyBorder="1" applyAlignment="1">
      <alignment horizontal="center" vertical="center" wrapText="1"/>
    </xf>
    <xf numFmtId="0" fontId="16" fillId="0" borderId="120" xfId="0" applyFont="1" applyBorder="1" applyAlignment="1">
      <alignment horizontal="center" vertical="center" wrapText="1"/>
    </xf>
    <xf numFmtId="1" fontId="3" fillId="26" borderId="116" xfId="0" applyNumberFormat="1" applyFont="1" applyFill="1" applyBorder="1" applyAlignment="1">
      <alignment horizontal="center" vertical="center" wrapText="1"/>
    </xf>
    <xf numFmtId="1" fontId="16" fillId="26" borderId="117" xfId="0" applyNumberFormat="1" applyFont="1" applyFill="1" applyBorder="1" applyAlignment="1">
      <alignment horizontal="center" vertical="center" wrapText="1"/>
    </xf>
    <xf numFmtId="1" fontId="3" fillId="0" borderId="116" xfId="0" applyNumberFormat="1" applyFont="1" applyBorder="1" applyAlignment="1">
      <alignment horizontal="center" vertical="center" wrapText="1"/>
    </xf>
    <xf numFmtId="1" fontId="16" fillId="0" borderId="117" xfId="0" applyNumberFormat="1" applyFont="1" applyBorder="1" applyAlignment="1">
      <alignment horizontal="center" vertical="center" wrapText="1"/>
    </xf>
    <xf numFmtId="1" fontId="3" fillId="0" borderId="119" xfId="0" applyNumberFormat="1" applyFont="1" applyBorder="1" applyAlignment="1">
      <alignment horizontal="center" vertical="center" wrapText="1"/>
    </xf>
    <xf numFmtId="1" fontId="16" fillId="0" borderId="120" xfId="0" applyNumberFormat="1" applyFont="1" applyBorder="1" applyAlignment="1">
      <alignment horizontal="center" vertical="center" wrapText="1"/>
    </xf>
    <xf numFmtId="1" fontId="15" fillId="13" borderId="48" xfId="0" applyNumberFormat="1" applyFont="1" applyFill="1" applyBorder="1" applyAlignment="1">
      <alignment horizontal="right" vertical="center" wrapText="1"/>
    </xf>
    <xf numFmtId="0" fontId="31" fillId="0" borderId="47" xfId="0" applyFont="1" applyBorder="1" applyAlignment="1">
      <alignment horizontal="center" vertical="center" wrapText="1"/>
    </xf>
    <xf numFmtId="0" fontId="31" fillId="13" borderId="47" xfId="0" applyFont="1" applyFill="1" applyBorder="1" applyAlignment="1">
      <alignment horizontal="center" vertical="center" wrapText="1"/>
    </xf>
    <xf numFmtId="0" fontId="12" fillId="13" borderId="46" xfId="0" applyFont="1" applyFill="1" applyBorder="1" applyAlignment="1">
      <alignment horizontal="center" vertical="center" wrapText="1"/>
    </xf>
    <xf numFmtId="2" fontId="12" fillId="13" borderId="46" xfId="0" applyNumberFormat="1" applyFont="1" applyFill="1" applyBorder="1" applyAlignment="1">
      <alignment horizontal="center" vertical="center" wrapText="1"/>
    </xf>
    <xf numFmtId="3" fontId="32" fillId="0" borderId="48" xfId="0" applyNumberFormat="1" applyFont="1" applyBorder="1" applyAlignment="1">
      <alignment horizontal="center" vertical="center" wrapText="1"/>
    </xf>
    <xf numFmtId="3" fontId="32" fillId="13" borderId="48" xfId="0" applyNumberFormat="1" applyFont="1" applyFill="1" applyBorder="1" applyAlignment="1">
      <alignment horizontal="center" vertical="center" wrapText="1"/>
    </xf>
    <xf numFmtId="3" fontId="12" fillId="0" borderId="48" xfId="0" applyNumberFormat="1" applyFont="1" applyBorder="1" applyAlignment="1">
      <alignment horizontal="center" vertical="center" wrapText="1"/>
    </xf>
    <xf numFmtId="3" fontId="12" fillId="13" borderId="48" xfId="0" applyNumberFormat="1" applyFont="1" applyFill="1" applyBorder="1" applyAlignment="1">
      <alignment horizontal="center" vertical="center" wrapText="1"/>
    </xf>
    <xf numFmtId="3" fontId="12" fillId="13" borderId="46" xfId="0" applyNumberFormat="1" applyFont="1" applyFill="1" applyBorder="1" applyAlignment="1">
      <alignment horizontal="center" vertical="center" wrapText="1"/>
    </xf>
    <xf numFmtId="0" fontId="55" fillId="14" borderId="51" xfId="0" applyFont="1" applyFill="1" applyBorder="1" applyAlignment="1">
      <alignment vertical="top" wrapText="1"/>
    </xf>
    <xf numFmtId="0" fontId="0" fillId="14" borderId="51" xfId="0" applyFill="1" applyBorder="1" applyAlignment="1">
      <alignment vertical="top" wrapText="1"/>
    </xf>
    <xf numFmtId="0" fontId="0" fillId="14" borderId="51" xfId="0" applyFill="1" applyBorder="1" applyAlignment="1">
      <alignment horizontal="center" vertical="top" wrapText="1"/>
    </xf>
    <xf numFmtId="0" fontId="55" fillId="14" borderId="51" xfId="0" applyFont="1" applyFill="1" applyBorder="1" applyAlignment="1">
      <alignment horizontal="center" vertical="top" wrapText="1"/>
    </xf>
    <xf numFmtId="0" fontId="56" fillId="0" borderId="121" xfId="0" applyFont="1" applyBorder="1" applyAlignment="1">
      <alignment vertical="top" wrapText="1"/>
    </xf>
    <xf numFmtId="0" fontId="56" fillId="0" borderId="0" xfId="0" applyFont="1" applyAlignment="1">
      <alignment vertical="top" wrapText="1"/>
    </xf>
    <xf numFmtId="1" fontId="57" fillId="0" borderId="0" xfId="0" applyNumberFormat="1" applyFont="1" applyAlignment="1">
      <alignment horizontal="center" vertical="top" shrinkToFit="1"/>
    </xf>
    <xf numFmtId="2" fontId="57" fillId="0" borderId="0" xfId="0" applyNumberFormat="1" applyFont="1" applyAlignment="1">
      <alignment horizontal="center" vertical="top" shrinkToFit="1"/>
    </xf>
    <xf numFmtId="2" fontId="57" fillId="0" borderId="122" xfId="0" applyNumberFormat="1" applyFont="1" applyBorder="1" applyAlignment="1">
      <alignment horizontal="center" vertical="top" shrinkToFit="1"/>
    </xf>
    <xf numFmtId="0" fontId="56" fillId="9" borderId="0" xfId="0" applyFont="1" applyFill="1" applyAlignment="1">
      <alignment vertical="top" wrapText="1"/>
    </xf>
    <xf numFmtId="1" fontId="57" fillId="9" borderId="0" xfId="0" applyNumberFormat="1" applyFont="1" applyFill="1" applyAlignment="1">
      <alignment horizontal="center" vertical="top" shrinkToFit="1"/>
    </xf>
    <xf numFmtId="2" fontId="57" fillId="9" borderId="0" xfId="0" applyNumberFormat="1" applyFont="1" applyFill="1" applyAlignment="1">
      <alignment horizontal="center" vertical="top" shrinkToFit="1"/>
    </xf>
    <xf numFmtId="2" fontId="57" fillId="9" borderId="122" xfId="0" applyNumberFormat="1" applyFont="1" applyFill="1" applyBorder="1" applyAlignment="1">
      <alignment horizontal="center" vertical="top" shrinkToFit="1"/>
    </xf>
    <xf numFmtId="0" fontId="56" fillId="0" borderId="123" xfId="0" applyFont="1" applyBorder="1" applyAlignment="1">
      <alignment vertical="top" wrapText="1"/>
    </xf>
    <xf numFmtId="0" fontId="56" fillId="0" borderId="124" xfId="0" applyFont="1" applyBorder="1" applyAlignment="1">
      <alignment vertical="top" wrapText="1"/>
    </xf>
    <xf numFmtId="1" fontId="57" fillId="0" borderId="124" xfId="0" applyNumberFormat="1" applyFont="1" applyBorder="1" applyAlignment="1">
      <alignment horizontal="center" vertical="top" shrinkToFit="1"/>
    </xf>
    <xf numFmtId="2" fontId="57" fillId="0" borderId="124" xfId="0" applyNumberFormat="1" applyFont="1" applyBorder="1" applyAlignment="1">
      <alignment horizontal="center" vertical="top" shrinkToFit="1"/>
    </xf>
    <xf numFmtId="2" fontId="57" fillId="0" borderId="125" xfId="0" applyNumberFormat="1" applyFont="1" applyBorder="1" applyAlignment="1">
      <alignment horizontal="center" vertical="top" shrinkToFit="1"/>
    </xf>
    <xf numFmtId="0" fontId="56" fillId="0" borderId="126" xfId="0" applyFont="1" applyBorder="1" applyAlignment="1">
      <alignment vertical="top" wrapText="1"/>
    </xf>
    <xf numFmtId="0" fontId="56" fillId="9" borderId="59" xfId="0" applyFont="1" applyFill="1" applyBorder="1" applyAlignment="1">
      <alignment vertical="top" wrapText="1"/>
    </xf>
    <xf numFmtId="1" fontId="57" fillId="9" borderId="59" xfId="0" applyNumberFormat="1" applyFont="1" applyFill="1" applyBorder="1" applyAlignment="1">
      <alignment horizontal="center" vertical="top" shrinkToFit="1"/>
    </xf>
    <xf numFmtId="2" fontId="57" fillId="9" borderId="59" xfId="0" applyNumberFormat="1" applyFont="1" applyFill="1" applyBorder="1" applyAlignment="1">
      <alignment horizontal="center" vertical="top" shrinkToFit="1"/>
    </xf>
    <xf numFmtId="2" fontId="57" fillId="9" borderId="127" xfId="0" applyNumberFormat="1" applyFont="1" applyFill="1" applyBorder="1" applyAlignment="1">
      <alignment horizontal="center" vertical="top" shrinkToFit="1"/>
    </xf>
    <xf numFmtId="174" fontId="57" fillId="9" borderId="59" xfId="0" applyNumberFormat="1" applyFont="1" applyFill="1" applyBorder="1" applyAlignment="1">
      <alignment horizontal="center" vertical="top" shrinkToFit="1"/>
    </xf>
    <xf numFmtId="1" fontId="57" fillId="9" borderId="0" xfId="0" applyNumberFormat="1" applyFont="1" applyFill="1" applyAlignment="1">
      <alignment horizontal="center" vertical="center" shrinkToFit="1"/>
    </xf>
    <xf numFmtId="2" fontId="57" fillId="9" borderId="0" xfId="0" applyNumberFormat="1" applyFont="1" applyFill="1" applyAlignment="1">
      <alignment horizontal="center" vertical="center" shrinkToFit="1"/>
    </xf>
    <xf numFmtId="2" fontId="57" fillId="9" borderId="122" xfId="0" applyNumberFormat="1" applyFont="1" applyFill="1" applyBorder="1" applyAlignment="1">
      <alignment horizontal="center" vertical="center" shrinkToFit="1"/>
    </xf>
    <xf numFmtId="1" fontId="57" fillId="0" borderId="124" xfId="0" applyNumberFormat="1" applyFont="1" applyBorder="1" applyAlignment="1">
      <alignment horizontal="center" vertical="center" shrinkToFit="1"/>
    </xf>
    <xf numFmtId="2" fontId="57" fillId="0" borderId="124" xfId="0" applyNumberFormat="1" applyFont="1" applyBorder="1" applyAlignment="1">
      <alignment horizontal="center" vertical="center" shrinkToFit="1"/>
    </xf>
    <xf numFmtId="2" fontId="57" fillId="0" borderId="125" xfId="0" applyNumberFormat="1" applyFont="1" applyBorder="1" applyAlignment="1">
      <alignment horizontal="center" vertical="center" shrinkToFit="1"/>
    </xf>
    <xf numFmtId="1" fontId="57" fillId="0" borderId="0" xfId="0" applyNumberFormat="1" applyFont="1" applyAlignment="1">
      <alignment horizontal="center" vertical="center" shrinkToFit="1"/>
    </xf>
    <xf numFmtId="2" fontId="57" fillId="0" borderId="0" xfId="0" applyNumberFormat="1" applyFont="1" applyAlignment="1">
      <alignment horizontal="center" vertical="center" shrinkToFit="1"/>
    </xf>
    <xf numFmtId="2" fontId="57" fillId="0" borderId="122" xfId="0" applyNumberFormat="1" applyFont="1" applyBorder="1" applyAlignment="1">
      <alignment horizontal="center" vertical="center" shrinkToFit="1"/>
    </xf>
    <xf numFmtId="1" fontId="57" fillId="9" borderId="59" xfId="0" applyNumberFormat="1" applyFont="1" applyFill="1" applyBorder="1" applyAlignment="1">
      <alignment horizontal="center" vertical="center" shrinkToFit="1"/>
    </xf>
    <xf numFmtId="2" fontId="57" fillId="9" borderId="59" xfId="0" applyNumberFormat="1" applyFont="1" applyFill="1" applyBorder="1" applyAlignment="1">
      <alignment horizontal="center" vertical="center" shrinkToFit="1"/>
    </xf>
    <xf numFmtId="2" fontId="57" fillId="9" borderId="127" xfId="0" applyNumberFormat="1" applyFont="1" applyFill="1" applyBorder="1" applyAlignment="1">
      <alignment horizontal="center" vertical="center" shrinkToFit="1"/>
    </xf>
    <xf numFmtId="174" fontId="57" fillId="9" borderId="59" xfId="0" applyNumberFormat="1" applyFont="1" applyFill="1" applyBorder="1" applyAlignment="1">
      <alignment horizontal="center" vertical="center" shrinkToFit="1"/>
    </xf>
    <xf numFmtId="0" fontId="56" fillId="0" borderId="0" xfId="0" applyFont="1" applyAlignment="1">
      <alignment horizontal="center" vertical="center" wrapText="1"/>
    </xf>
    <xf numFmtId="0" fontId="56" fillId="9" borderId="0" xfId="0" applyFont="1" applyFill="1" applyAlignment="1">
      <alignment horizontal="center" vertical="center" wrapText="1"/>
    </xf>
    <xf numFmtId="3" fontId="57" fillId="0" borderId="124" xfId="0" applyNumberFormat="1" applyFont="1" applyBorder="1" applyAlignment="1">
      <alignment horizontal="center" vertical="center" shrinkToFit="1"/>
    </xf>
    <xf numFmtId="0" fontId="56" fillId="0" borderId="124" xfId="0" applyFont="1" applyBorder="1" applyAlignment="1">
      <alignment horizontal="center" vertical="center" wrapText="1"/>
    </xf>
    <xf numFmtId="3" fontId="57" fillId="9" borderId="0" xfId="0" applyNumberFormat="1" applyFont="1" applyFill="1" applyAlignment="1">
      <alignment horizontal="center" vertical="center" shrinkToFit="1"/>
    </xf>
    <xf numFmtId="3" fontId="57" fillId="0" borderId="0" xfId="0" applyNumberFormat="1" applyFont="1" applyAlignment="1">
      <alignment horizontal="center" vertical="center" shrinkToFit="1"/>
    </xf>
    <xf numFmtId="3" fontId="57" fillId="9" borderId="59" xfId="0" applyNumberFormat="1" applyFont="1" applyFill="1" applyBorder="1" applyAlignment="1">
      <alignment horizontal="center" vertical="center" shrinkToFit="1"/>
    </xf>
    <xf numFmtId="0" fontId="56" fillId="9" borderId="59" xfId="0" applyFont="1" applyFill="1" applyBorder="1" applyAlignment="1">
      <alignment horizontal="center" vertical="center" wrapText="1"/>
    </xf>
    <xf numFmtId="0" fontId="50" fillId="12" borderId="128" xfId="0" applyFont="1" applyFill="1" applyBorder="1" applyAlignment="1">
      <alignment vertical="center" wrapText="1"/>
    </xf>
    <xf numFmtId="0" fontId="49" fillId="12" borderId="129" xfId="0" applyFont="1" applyFill="1" applyBorder="1" applyAlignment="1">
      <alignment horizontal="center" vertical="center" wrapText="1"/>
    </xf>
    <xf numFmtId="0" fontId="49" fillId="12" borderId="131" xfId="0" applyFont="1" applyFill="1" applyBorder="1" applyAlignment="1">
      <alignment vertical="center" wrapText="1"/>
    </xf>
    <xf numFmtId="0" fontId="50" fillId="12" borderId="132" xfId="0" applyFont="1" applyFill="1" applyBorder="1" applyAlignment="1">
      <alignment horizontal="center" vertical="center" wrapText="1"/>
    </xf>
    <xf numFmtId="0" fontId="50" fillId="12" borderId="132" xfId="0" applyFont="1" applyFill="1" applyBorder="1" applyAlignment="1">
      <alignment vertical="center" wrapText="1"/>
    </xf>
    <xf numFmtId="0" fontId="6" fillId="12" borderId="132" xfId="3" applyFill="1" applyBorder="1" applyAlignment="1" applyProtection="1">
      <alignment vertical="center" wrapText="1"/>
    </xf>
    <xf numFmtId="0" fontId="49" fillId="0" borderId="131" xfId="0" applyFont="1" applyBorder="1" applyAlignment="1">
      <alignment vertical="center" wrapText="1"/>
    </xf>
    <xf numFmtId="0" fontId="50" fillId="0" borderId="132" xfId="0" applyFont="1" applyBorder="1" applyAlignment="1">
      <alignment horizontal="center" vertical="center" wrapText="1"/>
    </xf>
    <xf numFmtId="0" fontId="49" fillId="13" borderId="131" xfId="0" applyFont="1" applyFill="1" applyBorder="1" applyAlignment="1">
      <alignment vertical="center" wrapText="1"/>
    </xf>
    <xf numFmtId="0" fontId="50" fillId="13" borderId="132" xfId="0" applyFont="1" applyFill="1" applyBorder="1" applyAlignment="1">
      <alignment horizontal="center" vertical="center" wrapText="1"/>
    </xf>
    <xf numFmtId="0" fontId="49" fillId="0" borderId="134" xfId="0" applyFont="1" applyBorder="1" applyAlignment="1">
      <alignment vertical="center" wrapText="1"/>
    </xf>
    <xf numFmtId="0" fontId="50" fillId="0" borderId="133" xfId="0" applyFont="1" applyBorder="1" applyAlignment="1">
      <alignment horizontal="center" vertical="center" wrapText="1"/>
    </xf>
    <xf numFmtId="2" fontId="50" fillId="0" borderId="132" xfId="0" applyNumberFormat="1" applyFont="1" applyBorder="1" applyAlignment="1">
      <alignment horizontal="center" vertical="center" wrapText="1"/>
    </xf>
    <xf numFmtId="0" fontId="12" fillId="12" borderId="138" xfId="0" applyFont="1" applyFill="1" applyBorder="1" applyAlignment="1">
      <alignment horizontal="center" vertical="center" wrapText="1"/>
    </xf>
    <xf numFmtId="0" fontId="12" fillId="12" borderId="137" xfId="0" applyFont="1" applyFill="1" applyBorder="1" applyAlignment="1">
      <alignment horizontal="center" vertical="center" wrapText="1"/>
    </xf>
    <xf numFmtId="0" fontId="12" fillId="0" borderId="131" xfId="0" applyFont="1" applyBorder="1" applyAlignment="1">
      <alignment horizontal="center" vertical="center" wrapText="1"/>
    </xf>
    <xf numFmtId="3" fontId="12" fillId="0" borderId="132" xfId="0" applyNumberFormat="1" applyFont="1" applyBorder="1" applyAlignment="1">
      <alignment horizontal="center" vertical="center" wrapText="1"/>
    </xf>
    <xf numFmtId="0" fontId="12" fillId="13" borderId="136" xfId="0" applyFont="1" applyFill="1" applyBorder="1" applyAlignment="1">
      <alignment horizontal="center" vertical="center" wrapText="1"/>
    </xf>
    <xf numFmtId="3" fontId="12" fillId="13" borderId="138" xfId="0" applyNumberFormat="1" applyFont="1" applyFill="1" applyBorder="1" applyAlignment="1">
      <alignment horizontal="center" vertical="center" wrapText="1"/>
    </xf>
    <xf numFmtId="3" fontId="0" fillId="0" borderId="0" xfId="0" applyNumberFormat="1"/>
    <xf numFmtId="0" fontId="3" fillId="0" borderId="0" xfId="0" applyFont="1" applyAlignment="1">
      <alignment wrapText="1"/>
    </xf>
    <xf numFmtId="0" fontId="7" fillId="0" borderId="0" xfId="0" applyFont="1" applyAlignment="1">
      <alignment horizontal="left" wrapText="1"/>
    </xf>
    <xf numFmtId="0" fontId="3" fillId="0" borderId="47" xfId="0" applyFont="1" applyBorder="1" applyAlignment="1">
      <alignment vertical="center" wrapText="1"/>
    </xf>
    <xf numFmtId="0" fontId="15" fillId="0" borderId="97" xfId="0" applyFont="1" applyBorder="1" applyAlignment="1">
      <alignment horizontal="center" vertical="center" wrapText="1"/>
    </xf>
    <xf numFmtId="0" fontId="15" fillId="13" borderId="98" xfId="0" applyFont="1" applyFill="1" applyBorder="1" applyAlignment="1">
      <alignment horizontal="center" vertical="center" wrapText="1"/>
    </xf>
    <xf numFmtId="0" fontId="15" fillId="0" borderId="98" xfId="0" applyFont="1" applyBorder="1" applyAlignment="1">
      <alignment horizontal="center" vertical="center" wrapText="1"/>
    </xf>
    <xf numFmtId="0" fontId="15" fillId="13" borderId="95" xfId="0" applyFont="1" applyFill="1" applyBorder="1" applyAlignment="1">
      <alignment horizontal="center" vertical="center" wrapText="1"/>
    </xf>
    <xf numFmtId="1" fontId="3" fillId="0" borderId="92" xfId="0" applyNumberFormat="1" applyFont="1" applyBorder="1" applyAlignment="1">
      <alignment horizontal="center" vertical="center" wrapText="1"/>
    </xf>
    <xf numFmtId="1" fontId="3" fillId="13" borderId="93" xfId="0" applyNumberFormat="1" applyFont="1" applyFill="1" applyBorder="1" applyAlignment="1">
      <alignment horizontal="center" vertical="center" wrapText="1"/>
    </xf>
    <xf numFmtId="1" fontId="3" fillId="0" borderId="93" xfId="0" applyNumberFormat="1" applyFont="1" applyBorder="1" applyAlignment="1">
      <alignment horizontal="center" vertical="center" wrapText="1"/>
    </xf>
    <xf numFmtId="1" fontId="3" fillId="13" borderId="10" xfId="0" applyNumberFormat="1" applyFont="1" applyFill="1" applyBorder="1" applyAlignment="1">
      <alignment horizontal="center" vertical="center" wrapText="1"/>
    </xf>
    <xf numFmtId="0" fontId="3" fillId="0" borderId="97" xfId="0" applyFont="1" applyBorder="1" applyAlignment="1">
      <alignment horizontal="center" vertical="center" wrapText="1"/>
    </xf>
    <xf numFmtId="0" fontId="3" fillId="13" borderId="98" xfId="0" applyFont="1" applyFill="1" applyBorder="1" applyAlignment="1">
      <alignment horizontal="center" vertical="center" wrapText="1"/>
    </xf>
    <xf numFmtId="0" fontId="3" fillId="0" borderId="98" xfId="0" applyFont="1" applyBorder="1" applyAlignment="1">
      <alignment horizontal="center" vertical="center" wrapText="1"/>
    </xf>
    <xf numFmtId="0" fontId="3" fillId="13" borderId="95" xfId="0" applyFont="1" applyFill="1" applyBorder="1" applyAlignment="1">
      <alignment horizontal="center" vertical="center" wrapText="1"/>
    </xf>
    <xf numFmtId="2" fontId="3" fillId="23" borderId="97" xfId="0" applyNumberFormat="1" applyFont="1" applyFill="1" applyBorder="1" applyAlignment="1">
      <alignment horizontal="center" vertical="center" wrapText="1"/>
    </xf>
    <xf numFmtId="2" fontId="3" fillId="23" borderId="98" xfId="0" applyNumberFormat="1" applyFont="1" applyFill="1" applyBorder="1" applyAlignment="1">
      <alignment horizontal="center" vertical="center" wrapText="1"/>
    </xf>
    <xf numFmtId="2" fontId="3" fillId="23" borderId="95" xfId="0" applyNumberFormat="1" applyFont="1" applyFill="1" applyBorder="1" applyAlignment="1">
      <alignment horizontal="center" vertical="center" wrapText="1"/>
    </xf>
    <xf numFmtId="2" fontId="3" fillId="17" borderId="141" xfId="0" applyNumberFormat="1" applyFont="1" applyFill="1" applyBorder="1" applyAlignment="1">
      <alignment horizontal="center" vertical="center" wrapText="1"/>
    </xf>
    <xf numFmtId="2" fontId="3" fillId="17" borderId="78" xfId="0" applyNumberFormat="1" applyFont="1" applyFill="1" applyBorder="1" applyAlignment="1">
      <alignment horizontal="center" vertical="center" wrapText="1"/>
    </xf>
    <xf numFmtId="1" fontId="3" fillId="21" borderId="92" xfId="0" applyNumberFormat="1" applyFont="1" applyFill="1" applyBorder="1" applyAlignment="1">
      <alignment horizontal="center" vertical="center" wrapText="1"/>
    </xf>
    <xf numFmtId="1" fontId="3" fillId="21" borderId="93" xfId="0" applyNumberFormat="1" applyFont="1" applyFill="1" applyBorder="1" applyAlignment="1">
      <alignment horizontal="center" vertical="center" wrapText="1"/>
    </xf>
    <xf numFmtId="0" fontId="3" fillId="13" borderId="47" xfId="0" applyFont="1" applyFill="1" applyBorder="1" applyAlignment="1">
      <alignment vertical="center" wrapText="1"/>
    </xf>
    <xf numFmtId="0" fontId="3" fillId="13" borderId="48" xfId="0" applyFont="1" applyFill="1" applyBorder="1" applyAlignment="1">
      <alignment horizontal="center" vertical="center" wrapText="1"/>
    </xf>
    <xf numFmtId="0" fontId="16" fillId="10" borderId="43" xfId="0" applyFont="1" applyFill="1" applyBorder="1" applyAlignment="1">
      <alignment horizontal="center" vertical="center" wrapText="1"/>
    </xf>
    <xf numFmtId="0" fontId="16" fillId="10" borderId="44" xfId="0" applyFont="1" applyFill="1" applyBorder="1" applyAlignment="1">
      <alignment horizontal="center" vertical="center" wrapText="1"/>
    </xf>
    <xf numFmtId="0" fontId="3" fillId="0" borderId="47" xfId="0" applyFont="1" applyBorder="1" applyAlignment="1">
      <alignment horizontal="left" vertical="center" wrapText="1"/>
    </xf>
    <xf numFmtId="0" fontId="3" fillId="13" borderId="47" xfId="0" applyFont="1" applyFill="1" applyBorder="1" applyAlignment="1">
      <alignment horizontal="left" vertical="center" wrapText="1"/>
    </xf>
    <xf numFmtId="0" fontId="3" fillId="0" borderId="45" xfId="0" applyFont="1" applyBorder="1" applyAlignment="1">
      <alignment horizontal="left" vertical="center" wrapText="1"/>
    </xf>
    <xf numFmtId="0" fontId="43" fillId="0" borderId="0" xfId="0" applyFont="1" applyAlignment="1">
      <alignment horizontal="left" vertical="center"/>
    </xf>
    <xf numFmtId="0" fontId="38" fillId="0" borderId="0" xfId="0" applyFont="1" applyAlignment="1">
      <alignment horizontal="left" vertical="center"/>
    </xf>
    <xf numFmtId="0" fontId="37" fillId="0" borderId="0" xfId="0" applyFont="1" applyAlignment="1">
      <alignment horizontal="left" vertical="center"/>
    </xf>
    <xf numFmtId="164" fontId="38" fillId="3" borderId="6" xfId="0" applyNumberFormat="1" applyFont="1" applyFill="1" applyBorder="1" applyAlignment="1">
      <alignment vertical="center" wrapText="1"/>
    </xf>
    <xf numFmtId="0" fontId="37" fillId="2" borderId="1" xfId="0" applyFont="1" applyFill="1" applyBorder="1" applyAlignment="1">
      <alignment horizontal="left" vertical="center" wrapText="1"/>
    </xf>
    <xf numFmtId="0" fontId="37" fillId="2" borderId="1" xfId="0" applyFont="1" applyFill="1" applyBorder="1" applyAlignment="1">
      <alignment horizontal="right" vertical="center" wrapText="1"/>
    </xf>
    <xf numFmtId="0" fontId="38" fillId="0" borderId="1" xfId="0" applyFont="1" applyBorder="1" applyAlignment="1">
      <alignment horizontal="left" vertical="center" wrapText="1"/>
    </xf>
    <xf numFmtId="165" fontId="38" fillId="0" borderId="1" xfId="0" applyNumberFormat="1" applyFont="1" applyBorder="1" applyAlignment="1">
      <alignment vertical="center" wrapText="1"/>
    </xf>
    <xf numFmtId="0" fontId="38" fillId="2" borderId="1" xfId="0" applyFont="1" applyFill="1" applyBorder="1" applyAlignment="1">
      <alignment horizontal="left" vertical="center" wrapText="1"/>
    </xf>
    <xf numFmtId="0" fontId="37" fillId="0" borderId="1" xfId="0" applyFont="1" applyBorder="1" applyAlignment="1">
      <alignment horizontal="left" vertical="center" wrapText="1"/>
    </xf>
    <xf numFmtId="0" fontId="37" fillId="0" borderId="1" xfId="0" applyFont="1" applyBorder="1" applyAlignment="1">
      <alignment horizontal="right" vertical="center" wrapText="1"/>
    </xf>
    <xf numFmtId="0" fontId="38" fillId="3" borderId="1" xfId="0" applyFont="1" applyFill="1" applyBorder="1" applyAlignment="1">
      <alignment vertical="center" wrapText="1"/>
    </xf>
    <xf numFmtId="9" fontId="38" fillId="3" borderId="0" xfId="0" applyNumberFormat="1" applyFont="1" applyFill="1" applyAlignment="1">
      <alignment horizontal="center" vertical="center" wrapText="1"/>
    </xf>
    <xf numFmtId="1" fontId="38" fillId="3" borderId="6" xfId="0" applyNumberFormat="1" applyFont="1" applyFill="1" applyBorder="1" applyAlignment="1">
      <alignment vertical="center"/>
    </xf>
    <xf numFmtId="0" fontId="37" fillId="3" borderId="1" xfId="0" applyFont="1" applyFill="1" applyBorder="1" applyAlignment="1">
      <alignment vertical="center" wrapText="1"/>
    </xf>
    <xf numFmtId="0" fontId="37" fillId="0" borderId="4" xfId="0" applyFont="1" applyBorder="1" applyAlignment="1">
      <alignment horizontal="left" vertical="center" wrapText="1"/>
    </xf>
    <xf numFmtId="1" fontId="38" fillId="0" borderId="0" xfId="0" applyNumberFormat="1" applyFont="1" applyAlignment="1">
      <alignment vertical="center"/>
    </xf>
    <xf numFmtId="0" fontId="37" fillId="0" borderId="5" xfId="0" applyFont="1" applyBorder="1" applyAlignment="1">
      <alignment horizontal="left" vertical="center" wrapText="1"/>
    </xf>
    <xf numFmtId="0" fontId="37" fillId="2" borderId="2" xfId="0" applyFont="1" applyFill="1" applyBorder="1" applyAlignment="1">
      <alignment vertical="center" wrapText="1"/>
    </xf>
    <xf numFmtId="0" fontId="37" fillId="2" borderId="2" xfId="0" applyFont="1" applyFill="1" applyBorder="1" applyAlignment="1">
      <alignment horizontal="right" vertical="center" wrapText="1"/>
    </xf>
    <xf numFmtId="0" fontId="37" fillId="2" borderId="3" xfId="0" applyFont="1" applyFill="1" applyBorder="1" applyAlignment="1">
      <alignment vertical="center" wrapText="1"/>
    </xf>
    <xf numFmtId="0" fontId="37" fillId="2" borderId="3" xfId="0" applyFont="1" applyFill="1" applyBorder="1" applyAlignment="1">
      <alignment horizontal="right" vertical="center" wrapText="1"/>
    </xf>
    <xf numFmtId="169" fontId="38" fillId="3" borderId="1" xfId="0" applyNumberFormat="1" applyFont="1" applyFill="1" applyBorder="1" applyAlignment="1">
      <alignment vertical="center" wrapText="1"/>
    </xf>
    <xf numFmtId="169" fontId="38" fillId="3" borderId="6" xfId="0" applyNumberFormat="1" applyFont="1" applyFill="1" applyBorder="1" applyAlignment="1">
      <alignment vertical="center"/>
    </xf>
    <xf numFmtId="173" fontId="38" fillId="0" borderId="0" xfId="0" applyNumberFormat="1" applyFont="1" applyAlignment="1">
      <alignment horizontal="left" vertical="center"/>
    </xf>
    <xf numFmtId="169" fontId="38" fillId="4" borderId="1" xfId="0" applyNumberFormat="1" applyFont="1" applyFill="1" applyBorder="1" applyAlignment="1">
      <alignment vertical="center" wrapText="1"/>
    </xf>
    <xf numFmtId="0" fontId="38" fillId="0" borderId="0" xfId="0" applyFont="1" applyAlignment="1">
      <alignment vertical="center"/>
    </xf>
    <xf numFmtId="0" fontId="12" fillId="14" borderId="0" xfId="0" applyFont="1" applyFill="1" applyAlignment="1">
      <alignment vertical="center"/>
    </xf>
    <xf numFmtId="0" fontId="40" fillId="14" borderId="0" xfId="0" applyFont="1" applyFill="1" applyAlignment="1">
      <alignment vertical="center"/>
    </xf>
    <xf numFmtId="0" fontId="40" fillId="0" borderId="0" xfId="0" applyFont="1" applyAlignment="1">
      <alignment vertical="center"/>
    </xf>
    <xf numFmtId="169" fontId="40" fillId="0" borderId="0" xfId="0" applyNumberFormat="1" applyFont="1" applyAlignment="1">
      <alignment vertical="center"/>
    </xf>
    <xf numFmtId="0" fontId="8" fillId="0" borderId="0" xfId="0" applyFont="1" applyAlignment="1">
      <alignment horizontal="left" vertical="center"/>
    </xf>
    <xf numFmtId="6" fontId="51" fillId="0" borderId="0" xfId="0" applyNumberFormat="1" applyFont="1" applyAlignment="1">
      <alignment horizontal="left" vertical="center"/>
    </xf>
    <xf numFmtId="0" fontId="6" fillId="0" borderId="0" xfId="3" applyAlignment="1" applyProtection="1">
      <alignment horizontal="left" vertical="center"/>
    </xf>
    <xf numFmtId="0" fontId="34" fillId="0" borderId="0" xfId="0" applyFont="1" applyAlignment="1">
      <alignment vertical="center"/>
    </xf>
    <xf numFmtId="0" fontId="6" fillId="0" borderId="0" xfId="3" applyAlignment="1" applyProtection="1">
      <alignment vertical="center"/>
    </xf>
    <xf numFmtId="0" fontId="40" fillId="0" borderId="0" xfId="0" quotePrefix="1" applyFont="1" applyAlignment="1">
      <alignment vertical="center"/>
    </xf>
    <xf numFmtId="0" fontId="39" fillId="0" borderId="0" xfId="0" applyFont="1" applyAlignment="1">
      <alignment vertical="center"/>
    </xf>
    <xf numFmtId="0" fontId="13" fillId="12" borderId="142" xfId="0" applyFont="1" applyFill="1" applyBorder="1" applyAlignment="1">
      <alignment vertical="center" wrapText="1"/>
    </xf>
    <xf numFmtId="0" fontId="13" fillId="12" borderId="137" xfId="0" applyFont="1" applyFill="1" applyBorder="1" applyAlignment="1">
      <alignment horizontal="center" vertical="center" wrapText="1"/>
    </xf>
    <xf numFmtId="0" fontId="6" fillId="12" borderId="137" xfId="3" applyFill="1" applyBorder="1" applyAlignment="1" applyProtection="1">
      <alignment horizontal="center" vertical="center" wrapText="1"/>
    </xf>
    <xf numFmtId="0" fontId="32" fillId="0" borderId="131" xfId="0" applyFont="1" applyBorder="1" applyAlignment="1">
      <alignment vertical="center" wrapText="1"/>
    </xf>
    <xf numFmtId="0" fontId="12" fillId="0" borderId="132" xfId="0" applyFont="1" applyBorder="1" applyAlignment="1">
      <alignment horizontal="right" vertical="center" wrapText="1"/>
    </xf>
    <xf numFmtId="0" fontId="32" fillId="13" borderId="136" xfId="0" applyFont="1" applyFill="1" applyBorder="1" applyAlignment="1">
      <alignment vertical="center" wrapText="1"/>
    </xf>
    <xf numFmtId="0" fontId="12" fillId="13" borderId="138" xfId="0" applyFont="1" applyFill="1" applyBorder="1" applyAlignment="1">
      <alignment horizontal="right" vertical="center" wrapText="1"/>
    </xf>
    <xf numFmtId="1" fontId="12" fillId="0" borderId="132" xfId="0" applyNumberFormat="1" applyFont="1" applyBorder="1" applyAlignment="1">
      <alignment horizontal="right" vertical="center" wrapText="1"/>
    </xf>
    <xf numFmtId="0" fontId="16" fillId="12" borderId="142" xfId="0" applyFont="1" applyFill="1" applyBorder="1" applyAlignment="1">
      <alignment vertical="center" wrapText="1"/>
    </xf>
    <xf numFmtId="0" fontId="12" fillId="0" borderId="136" xfId="0" applyFont="1" applyBorder="1" applyAlignment="1">
      <alignment vertical="center" wrapText="1"/>
    </xf>
    <xf numFmtId="0" fontId="12" fillId="0" borderId="138" xfId="0" applyFont="1" applyBorder="1" applyAlignment="1">
      <alignment horizontal="right" vertical="center" wrapText="1"/>
    </xf>
    <xf numFmtId="6" fontId="8" fillId="0" borderId="0" xfId="0" applyNumberFormat="1" applyFont="1"/>
    <xf numFmtId="6" fontId="34" fillId="0" borderId="0" xfId="0" applyNumberFormat="1" applyFont="1"/>
    <xf numFmtId="175" fontId="12" fillId="0" borderId="138" xfId="0" applyNumberFormat="1" applyFont="1" applyBorder="1" applyAlignment="1">
      <alignment horizontal="right" vertical="center" wrapText="1"/>
    </xf>
    <xf numFmtId="0" fontId="1" fillId="27" borderId="0" xfId="9" applyFont="1" applyFill="1"/>
    <xf numFmtId="0" fontId="23" fillId="27" borderId="0" xfId="9" applyFill="1"/>
    <xf numFmtId="0" fontId="61" fillId="0" borderId="0" xfId="0" applyFont="1"/>
    <xf numFmtId="175" fontId="3" fillId="13" borderId="48" xfId="0" applyNumberFormat="1" applyFont="1" applyFill="1" applyBorder="1" applyAlignment="1">
      <alignment horizontal="center" vertical="center" wrapText="1"/>
    </xf>
    <xf numFmtId="175" fontId="3" fillId="0" borderId="48" xfId="0" applyNumberFormat="1" applyFont="1" applyBorder="1" applyAlignment="1">
      <alignment horizontal="center" vertical="center" wrapText="1"/>
    </xf>
    <xf numFmtId="6" fontId="34" fillId="0" borderId="0" xfId="0" applyNumberFormat="1" applyFont="1" applyAlignment="1">
      <alignment horizontal="right" vertical="center"/>
    </xf>
    <xf numFmtId="6" fontId="34" fillId="0" borderId="0" xfId="0" applyNumberFormat="1" applyFont="1" applyAlignment="1">
      <alignment vertical="center"/>
    </xf>
    <xf numFmtId="175" fontId="42" fillId="0" borderId="50" xfId="0" applyNumberFormat="1" applyFont="1" applyBorder="1" applyAlignment="1">
      <alignment horizontal="center" vertical="center" wrapText="1"/>
    </xf>
    <xf numFmtId="175" fontId="42" fillId="13" borderId="48" xfId="0" applyNumberFormat="1" applyFont="1" applyFill="1" applyBorder="1" applyAlignment="1">
      <alignment horizontal="center" vertical="center" wrapText="1"/>
    </xf>
    <xf numFmtId="175" fontId="42" fillId="0" borderId="46" xfId="0" applyNumberFormat="1" applyFont="1" applyBorder="1" applyAlignment="1">
      <alignment horizontal="center" vertical="center" wrapText="1"/>
    </xf>
    <xf numFmtId="0" fontId="34" fillId="0" borderId="0" xfId="0" applyFont="1" applyAlignment="1">
      <alignment horizontal="left"/>
    </xf>
    <xf numFmtId="175" fontId="15" fillId="9" borderId="33" xfId="7" applyNumberFormat="1" applyFont="1" applyFill="1" applyBorder="1" applyAlignment="1">
      <alignment horizontal="center" vertical="center" wrapText="1"/>
    </xf>
    <xf numFmtId="175" fontId="15" fillId="0" borderId="33" xfId="7" applyNumberFormat="1" applyFont="1" applyBorder="1" applyAlignment="1">
      <alignment horizontal="center" vertical="center" wrapText="1"/>
    </xf>
    <xf numFmtId="175" fontId="35" fillId="0" borderId="33" xfId="7" applyNumberFormat="1" applyFont="1" applyBorder="1" applyAlignment="1">
      <alignment horizontal="center" vertical="center" wrapText="1"/>
    </xf>
    <xf numFmtId="0" fontId="15" fillId="9" borderId="0" xfId="7" applyFont="1" applyFill="1" applyAlignment="1">
      <alignment horizontal="center" vertical="center" wrapText="1"/>
    </xf>
    <xf numFmtId="171" fontId="0" fillId="0" borderId="0" xfId="10" applyNumberFormat="1" applyFont="1"/>
    <xf numFmtId="0" fontId="16" fillId="10" borderId="80" xfId="7" applyFont="1" applyFill="1" applyBorder="1" applyAlignment="1">
      <alignment horizontal="center" vertical="center" wrapText="1"/>
    </xf>
    <xf numFmtId="0" fontId="16" fillId="10" borderId="81" xfId="7" applyFont="1" applyFill="1" applyBorder="1" applyAlignment="1">
      <alignment horizontal="center" vertical="center" wrapText="1"/>
    </xf>
    <xf numFmtId="0" fontId="16" fillId="10" borderId="82" xfId="7" applyFont="1" applyFill="1" applyBorder="1" applyAlignment="1">
      <alignment horizontal="center" vertical="center" wrapText="1"/>
    </xf>
    <xf numFmtId="0" fontId="16" fillId="10" borderId="52" xfId="7" applyFont="1" applyFill="1" applyBorder="1" applyAlignment="1">
      <alignment horizontal="center" vertical="center" wrapText="1"/>
    </xf>
    <xf numFmtId="0" fontId="16" fillId="10" borderId="53" xfId="7" applyFont="1" applyFill="1" applyBorder="1" applyAlignment="1">
      <alignment horizontal="center" vertical="center" wrapText="1"/>
    </xf>
    <xf numFmtId="0" fontId="16" fillId="10" borderId="54" xfId="7" applyFont="1" applyFill="1" applyBorder="1" applyAlignment="1">
      <alignment horizontal="center" vertical="center" wrapText="1"/>
    </xf>
    <xf numFmtId="0" fontId="13" fillId="12" borderId="49" xfId="0" applyFont="1" applyFill="1" applyBorder="1" applyAlignment="1">
      <alignment horizontal="center" vertical="center"/>
    </xf>
    <xf numFmtId="0" fontId="13" fillId="12" borderId="47" xfId="0" applyFont="1" applyFill="1" applyBorder="1" applyAlignment="1">
      <alignment horizontal="center" vertical="center"/>
    </xf>
    <xf numFmtId="0" fontId="13" fillId="12" borderId="56" xfId="0" applyFont="1" applyFill="1" applyBorder="1" applyAlignment="1">
      <alignment horizontal="center" vertical="center"/>
    </xf>
    <xf numFmtId="0" fontId="13" fillId="12" borderId="57" xfId="0" applyFont="1" applyFill="1" applyBorder="1" applyAlignment="1">
      <alignment horizontal="center" vertical="center"/>
    </xf>
    <xf numFmtId="0" fontId="13" fillId="12" borderId="44" xfId="0" applyFont="1" applyFill="1" applyBorder="1" applyAlignment="1">
      <alignment horizontal="center" vertical="center"/>
    </xf>
    <xf numFmtId="0" fontId="13" fillId="12" borderId="56" xfId="0" applyFont="1" applyFill="1" applyBorder="1" applyAlignment="1">
      <alignment horizontal="center" vertical="center" wrapText="1"/>
    </xf>
    <xf numFmtId="0" fontId="13" fillId="12" borderId="44" xfId="0" applyFont="1" applyFill="1" applyBorder="1" applyAlignment="1">
      <alignment horizontal="center" vertical="center" wrapText="1"/>
    </xf>
    <xf numFmtId="0" fontId="13" fillId="12" borderId="49" xfId="0" applyFont="1" applyFill="1" applyBorder="1" applyAlignment="1">
      <alignment horizontal="center" vertical="center" wrapText="1"/>
    </xf>
    <xf numFmtId="0" fontId="13" fillId="12" borderId="47" xfId="0" applyFont="1" applyFill="1" applyBorder="1" applyAlignment="1">
      <alignment horizontal="center" vertical="center" wrapText="1"/>
    </xf>
    <xf numFmtId="0" fontId="13" fillId="12" borderId="76" xfId="0" applyFont="1" applyFill="1" applyBorder="1" applyAlignment="1">
      <alignment horizontal="center" vertical="center" wrapText="1"/>
    </xf>
    <xf numFmtId="0" fontId="13" fillId="12" borderId="77" xfId="0" applyFont="1" applyFill="1" applyBorder="1" applyAlignment="1">
      <alignment horizontal="center" vertical="center" wrapText="1"/>
    </xf>
    <xf numFmtId="0" fontId="13" fillId="12" borderId="50" xfId="0" applyFont="1" applyFill="1" applyBorder="1" applyAlignment="1">
      <alignment horizontal="center" vertical="center" wrapText="1"/>
    </xf>
    <xf numFmtId="0" fontId="13" fillId="12" borderId="78" xfId="0" applyFont="1" applyFill="1" applyBorder="1" applyAlignment="1">
      <alignment horizontal="center" vertical="center" wrapText="1"/>
    </xf>
    <xf numFmtId="0" fontId="13" fillId="12" borderId="48" xfId="0" applyFont="1" applyFill="1" applyBorder="1" applyAlignment="1">
      <alignment horizontal="center" vertical="center" wrapText="1"/>
    </xf>
    <xf numFmtId="0" fontId="6" fillId="12" borderId="78" xfId="3" applyFill="1" applyBorder="1" applyAlignment="1" applyProtection="1">
      <alignment horizontal="center" vertical="center" wrapText="1"/>
    </xf>
    <xf numFmtId="0" fontId="6" fillId="12" borderId="0" xfId="3" applyFill="1" applyAlignment="1" applyProtection="1">
      <alignment horizontal="center" vertical="center" wrapText="1"/>
    </xf>
    <xf numFmtId="0" fontId="6" fillId="12" borderId="48" xfId="3" applyFill="1" applyBorder="1" applyAlignment="1" applyProtection="1">
      <alignment horizontal="center" vertical="center" wrapText="1"/>
    </xf>
    <xf numFmtId="1" fontId="3" fillId="0" borderId="49" xfId="0" applyNumberFormat="1" applyFont="1" applyBorder="1" applyAlignment="1">
      <alignment horizontal="center" vertical="center" wrapText="1"/>
    </xf>
    <xf numFmtId="1" fontId="3" fillId="0" borderId="45" xfId="0" applyNumberFormat="1" applyFont="1" applyBorder="1" applyAlignment="1">
      <alignment horizontal="center" vertical="center" wrapText="1"/>
    </xf>
    <xf numFmtId="0" fontId="36" fillId="0" borderId="100" xfId="0" applyFont="1" applyBorder="1" applyAlignment="1">
      <alignment horizontal="center"/>
    </xf>
    <xf numFmtId="0" fontId="31" fillId="12" borderId="101" xfId="0" applyFont="1" applyFill="1" applyBorder="1" applyAlignment="1">
      <alignment horizontal="center" vertical="center" wrapText="1"/>
    </xf>
    <xf numFmtId="0" fontId="31" fillId="12" borderId="101" xfId="0" applyFont="1" applyFill="1" applyBorder="1" applyAlignment="1">
      <alignment horizontal="center" vertical="center"/>
    </xf>
    <xf numFmtId="0" fontId="3" fillId="0" borderId="49" xfId="0" applyFont="1" applyBorder="1" applyAlignment="1">
      <alignment vertical="center" wrapText="1"/>
    </xf>
    <xf numFmtId="0" fontId="3" fillId="0" borderId="45" xfId="0" applyFont="1" applyBorder="1" applyAlignment="1">
      <alignment vertical="center" wrapText="1"/>
    </xf>
    <xf numFmtId="0" fontId="31" fillId="12" borderId="102" xfId="0" applyFont="1" applyFill="1" applyBorder="1" applyAlignment="1">
      <alignment horizontal="center" vertical="center" wrapText="1"/>
    </xf>
    <xf numFmtId="0" fontId="31" fillId="12" borderId="103" xfId="0" applyFont="1" applyFill="1" applyBorder="1" applyAlignment="1">
      <alignment horizontal="center" vertical="center" wrapText="1"/>
    </xf>
    <xf numFmtId="0" fontId="31" fillId="12" borderId="104" xfId="0" applyFont="1" applyFill="1" applyBorder="1" applyAlignment="1">
      <alignment horizontal="center" vertical="center" wrapText="1"/>
    </xf>
    <xf numFmtId="0" fontId="31" fillId="12" borderId="105" xfId="0" applyFont="1" applyFill="1" applyBorder="1" applyAlignment="1">
      <alignment horizontal="center" vertical="center"/>
    </xf>
    <xf numFmtId="0" fontId="31" fillId="12" borderId="106" xfId="0" applyFont="1" applyFill="1" applyBorder="1" applyAlignment="1">
      <alignment horizontal="center" vertical="center"/>
    </xf>
    <xf numFmtId="0" fontId="31" fillId="12" borderId="107" xfId="0" applyFont="1" applyFill="1" applyBorder="1" applyAlignment="1">
      <alignment horizontal="center" vertical="center"/>
    </xf>
    <xf numFmtId="0" fontId="3" fillId="0" borderId="47" xfId="0" applyFont="1" applyBorder="1" applyAlignment="1">
      <alignment vertical="center" wrapText="1"/>
    </xf>
    <xf numFmtId="175" fontId="3" fillId="0" borderId="49" xfId="0" applyNumberFormat="1" applyFont="1" applyBorder="1" applyAlignment="1">
      <alignment horizontal="center" vertical="center" wrapText="1"/>
    </xf>
    <xf numFmtId="175" fontId="3" fillId="0" borderId="45" xfId="0" applyNumberFormat="1" applyFont="1" applyBorder="1" applyAlignment="1">
      <alignment horizontal="center" vertical="center" wrapText="1"/>
    </xf>
    <xf numFmtId="0" fontId="13" fillId="12" borderId="45" xfId="0" applyFont="1" applyFill="1" applyBorder="1" applyAlignment="1">
      <alignment horizontal="center" vertical="center" wrapText="1"/>
    </xf>
    <xf numFmtId="0" fontId="16" fillId="12" borderId="56" xfId="0" applyFont="1" applyFill="1" applyBorder="1" applyAlignment="1">
      <alignment horizontal="center" vertical="center" wrapText="1"/>
    </xf>
    <xf numFmtId="0" fontId="16" fillId="12" borderId="44" xfId="0" applyFont="1" applyFill="1" applyBorder="1" applyAlignment="1">
      <alignment horizontal="center" vertical="center" wrapText="1"/>
    </xf>
    <xf numFmtId="0" fontId="49" fillId="12" borderId="49" xfId="0" applyFont="1" applyFill="1" applyBorder="1" applyAlignment="1">
      <alignment horizontal="center" vertical="center" wrapText="1"/>
    </xf>
    <xf numFmtId="0" fontId="49" fillId="12" borderId="45" xfId="0" applyFont="1" applyFill="1" applyBorder="1" applyAlignment="1">
      <alignment horizontal="center" vertical="center" wrapText="1"/>
    </xf>
    <xf numFmtId="0" fontId="49" fillId="12" borderId="56" xfId="0" applyFont="1" applyFill="1" applyBorder="1" applyAlignment="1">
      <alignment horizontal="center" vertical="center"/>
    </xf>
    <xf numFmtId="0" fontId="49" fillId="12" borderId="57" xfId="0" applyFont="1" applyFill="1" applyBorder="1" applyAlignment="1">
      <alignment horizontal="center" vertical="center"/>
    </xf>
    <xf numFmtId="0" fontId="49" fillId="12" borderId="44" xfId="0" applyFont="1" applyFill="1" applyBorder="1" applyAlignment="1">
      <alignment horizontal="center" vertical="center"/>
    </xf>
    <xf numFmtId="0" fontId="51" fillId="0" borderId="100" xfId="0" applyFont="1" applyBorder="1" applyAlignment="1">
      <alignment horizontal="center"/>
    </xf>
    <xf numFmtId="0" fontId="31" fillId="12" borderId="49" xfId="0" applyFont="1" applyFill="1" applyBorder="1" applyAlignment="1">
      <alignment horizontal="center" vertical="center" wrapText="1"/>
    </xf>
    <xf numFmtId="0" fontId="31" fillId="12" borderId="45" xfId="0" applyFont="1" applyFill="1" applyBorder="1" applyAlignment="1">
      <alignment horizontal="center" vertical="center" wrapText="1"/>
    </xf>
    <xf numFmtId="0" fontId="31" fillId="12" borderId="56" xfId="0" applyFont="1" applyFill="1" applyBorder="1" applyAlignment="1">
      <alignment horizontal="center" vertical="center"/>
    </xf>
    <xf numFmtId="0" fontId="31" fillId="12" borderId="57" xfId="0" applyFont="1" applyFill="1" applyBorder="1" applyAlignment="1">
      <alignment horizontal="center" vertical="center"/>
    </xf>
    <xf numFmtId="0" fontId="31" fillId="12" borderId="44" xfId="0" applyFont="1" applyFill="1" applyBorder="1" applyAlignment="1">
      <alignment horizontal="center" vertical="center"/>
    </xf>
    <xf numFmtId="0" fontId="16" fillId="12" borderId="0" xfId="0" applyFont="1" applyFill="1" applyAlignment="1">
      <alignment horizontal="center" vertical="center" wrapText="1"/>
    </xf>
    <xf numFmtId="8" fontId="3" fillId="13" borderId="0" xfId="0" applyNumberFormat="1" applyFont="1" applyFill="1" applyAlignment="1">
      <alignment horizontal="center" vertical="center" wrapText="1"/>
    </xf>
    <xf numFmtId="8" fontId="3" fillId="13" borderId="58" xfId="0" applyNumberFormat="1" applyFont="1" applyFill="1" applyBorder="1" applyAlignment="1">
      <alignment horizontal="center" vertical="center" wrapText="1"/>
    </xf>
    <xf numFmtId="8" fontId="3" fillId="13" borderId="46" xfId="0" applyNumberFormat="1" applyFont="1" applyFill="1" applyBorder="1" applyAlignment="1">
      <alignment horizontal="center" vertical="center" wrapText="1"/>
    </xf>
    <xf numFmtId="0" fontId="0" fillId="0" borderId="0" xfId="0" applyAlignment="1">
      <alignment horizontal="left" vertical="center" wrapText="1"/>
    </xf>
    <xf numFmtId="0" fontId="49" fillId="12" borderId="135" xfId="0" applyFont="1" applyFill="1" applyBorder="1" applyAlignment="1">
      <alignment horizontal="center" vertical="center" wrapText="1"/>
    </xf>
    <xf numFmtId="0" fontId="49" fillId="12" borderId="130" xfId="0" applyFont="1" applyFill="1" applyBorder="1" applyAlignment="1">
      <alignment horizontal="center" vertical="center" wrapText="1"/>
    </xf>
    <xf numFmtId="0" fontId="49" fillId="12" borderId="129" xfId="0" applyFont="1" applyFill="1" applyBorder="1" applyAlignment="1">
      <alignment horizontal="center" vertical="center" wrapText="1"/>
    </xf>
    <xf numFmtId="2" fontId="50" fillId="0" borderId="131" xfId="0" applyNumberFormat="1" applyFont="1" applyBorder="1" applyAlignment="1">
      <alignment horizontal="center" vertical="center" wrapText="1"/>
    </xf>
    <xf numFmtId="2" fontId="50" fillId="0" borderId="134" xfId="0" applyNumberFormat="1" applyFont="1" applyBorder="1" applyAlignment="1">
      <alignment horizontal="center" vertical="center" wrapText="1"/>
    </xf>
    <xf numFmtId="1" fontId="50" fillId="0" borderId="131" xfId="0" applyNumberFormat="1" applyFont="1" applyBorder="1" applyAlignment="1">
      <alignment horizontal="center" vertical="center" wrapText="1"/>
    </xf>
    <xf numFmtId="1" fontId="50" fillId="0" borderId="134" xfId="0" applyNumberFormat="1" applyFont="1" applyBorder="1" applyAlignment="1">
      <alignment horizontal="center" vertical="center" wrapText="1"/>
    </xf>
    <xf numFmtId="0" fontId="50" fillId="0" borderId="131" xfId="0" applyFont="1" applyBorder="1" applyAlignment="1">
      <alignment horizontal="center" vertical="center" wrapText="1"/>
    </xf>
    <xf numFmtId="0" fontId="50" fillId="0" borderId="134" xfId="0" applyFont="1" applyBorder="1" applyAlignment="1">
      <alignment horizontal="center" vertical="center" wrapText="1"/>
    </xf>
    <xf numFmtId="0" fontId="16" fillId="24" borderId="49" xfId="0" applyFont="1" applyFill="1" applyBorder="1" applyAlignment="1">
      <alignment horizontal="center" vertical="center" wrapText="1"/>
    </xf>
    <xf numFmtId="0" fontId="16" fillId="24" borderId="45" xfId="0" applyFont="1" applyFill="1" applyBorder="1" applyAlignment="1">
      <alignment horizontal="center" vertical="center" wrapText="1"/>
    </xf>
    <xf numFmtId="0" fontId="16" fillId="24" borderId="56" xfId="0" applyFont="1" applyFill="1" applyBorder="1" applyAlignment="1">
      <alignment horizontal="center" vertical="center" wrapText="1"/>
    </xf>
    <xf numFmtId="0" fontId="16" fillId="24" borderId="57" xfId="0" applyFont="1" applyFill="1" applyBorder="1" applyAlignment="1">
      <alignment horizontal="center" vertical="center" wrapText="1"/>
    </xf>
    <xf numFmtId="0" fontId="16" fillId="24" borderId="44" xfId="0" applyFont="1" applyFill="1" applyBorder="1" applyAlignment="1">
      <alignment horizontal="center" vertical="center" wrapText="1"/>
    </xf>
    <xf numFmtId="0" fontId="16" fillId="12" borderId="91" xfId="0" applyFont="1" applyFill="1" applyBorder="1" applyAlignment="1">
      <alignment horizontal="center" vertical="center" wrapText="1"/>
    </xf>
    <xf numFmtId="0" fontId="16" fillId="12" borderId="92" xfId="0" applyFont="1" applyFill="1" applyBorder="1" applyAlignment="1">
      <alignment horizontal="center" vertical="center" wrapText="1"/>
    </xf>
    <xf numFmtId="0" fontId="16" fillId="12" borderId="94" xfId="0" applyFont="1" applyFill="1" applyBorder="1" applyAlignment="1">
      <alignment horizontal="center" vertical="center" wrapText="1"/>
    </xf>
    <xf numFmtId="0" fontId="16" fillId="12" borderId="10" xfId="0" applyFont="1" applyFill="1" applyBorder="1" applyAlignment="1">
      <alignment horizontal="center" vertical="center" wrapText="1"/>
    </xf>
    <xf numFmtId="0" fontId="16" fillId="12" borderId="96" xfId="0" applyFont="1" applyFill="1" applyBorder="1" applyAlignment="1">
      <alignment horizontal="center" vertical="center" wrapText="1"/>
    </xf>
    <xf numFmtId="0" fontId="16" fillId="12" borderId="9" xfId="0" applyFont="1" applyFill="1" applyBorder="1" applyAlignment="1">
      <alignment horizontal="center" vertical="center" wrapText="1"/>
    </xf>
    <xf numFmtId="0" fontId="13" fillId="12" borderId="96" xfId="0" applyFont="1" applyFill="1" applyBorder="1" applyAlignment="1">
      <alignment horizontal="center" vertical="center" wrapText="1"/>
    </xf>
    <xf numFmtId="0" fontId="36" fillId="0" borderId="112" xfId="0" applyFont="1" applyBorder="1" applyAlignment="1">
      <alignment horizontal="center"/>
    </xf>
    <xf numFmtId="0" fontId="36" fillId="0" borderId="8" xfId="0" applyFont="1" applyBorder="1" applyAlignment="1">
      <alignment horizontal="center"/>
    </xf>
    <xf numFmtId="0" fontId="7" fillId="0" borderId="140" xfId="0" applyFont="1" applyBorder="1" applyAlignment="1">
      <alignment horizontal="center"/>
    </xf>
    <xf numFmtId="0" fontId="0" fillId="0" borderId="140" xfId="0" applyBorder="1" applyAlignment="1">
      <alignment horizontal="center"/>
    </xf>
    <xf numFmtId="0" fontId="31" fillId="13" borderId="58" xfId="0" applyFont="1" applyFill="1" applyBorder="1" applyAlignment="1">
      <alignment horizontal="center" vertical="center" wrapText="1"/>
    </xf>
    <xf numFmtId="0" fontId="31" fillId="13" borderId="46" xfId="0" applyFont="1" applyFill="1" applyBorder="1" applyAlignment="1">
      <alignment horizontal="center" vertical="center" wrapText="1"/>
    </xf>
    <xf numFmtId="0" fontId="12" fillId="12" borderId="139" xfId="0" applyFont="1" applyFill="1" applyBorder="1" applyAlignment="1">
      <alignment horizontal="center" vertical="center" wrapText="1"/>
    </xf>
    <xf numFmtId="0" fontId="12" fillId="12" borderId="137" xfId="0" applyFont="1" applyFill="1" applyBorder="1" applyAlignment="1">
      <alignment horizontal="center" vertical="center" wrapText="1"/>
    </xf>
    <xf numFmtId="0" fontId="12" fillId="12" borderId="128" xfId="0" applyFont="1" applyFill="1" applyBorder="1" applyAlignment="1">
      <alignment horizontal="center" vertical="center" wrapText="1"/>
    </xf>
    <xf numFmtId="0" fontId="12" fillId="12" borderId="136" xfId="0" applyFont="1" applyFill="1" applyBorder="1" applyAlignment="1">
      <alignment horizontal="center" vertical="center" wrapText="1"/>
    </xf>
    <xf numFmtId="0" fontId="15" fillId="13" borderId="58" xfId="0" applyFont="1" applyFill="1" applyBorder="1" applyAlignment="1">
      <alignment horizontal="center" vertical="center" wrapText="1"/>
    </xf>
    <xf numFmtId="0" fontId="15" fillId="13" borderId="46" xfId="0" applyFont="1" applyFill="1" applyBorder="1" applyAlignment="1">
      <alignment horizontal="center" vertical="center" wrapText="1"/>
    </xf>
    <xf numFmtId="0" fontId="13" fillId="0" borderId="59" xfId="0" applyFont="1" applyBorder="1" applyAlignment="1">
      <alignment horizontal="center" vertical="center"/>
    </xf>
    <xf numFmtId="0" fontId="30" fillId="16" borderId="51" xfId="0" applyFont="1" applyFill="1" applyBorder="1" applyAlignment="1">
      <alignment horizontal="center" vertical="center" wrapText="1"/>
    </xf>
    <xf numFmtId="0" fontId="15" fillId="0" borderId="11" xfId="0" applyFont="1" applyBorder="1" applyAlignment="1">
      <alignment horizontal="center" vertical="center"/>
    </xf>
    <xf numFmtId="0" fontId="15" fillId="0" borderId="11" xfId="0" applyFont="1" applyBorder="1" applyAlignment="1">
      <alignment horizontal="center" vertical="center" wrapText="1"/>
    </xf>
    <xf numFmtId="0" fontId="27" fillId="12" borderId="55" xfId="9" applyFont="1" applyFill="1" applyBorder="1" applyAlignment="1">
      <alignment horizontal="center" vertical="center" wrapText="1"/>
    </xf>
    <xf numFmtId="0" fontId="27" fillId="12" borderId="41" xfId="9" applyFont="1" applyFill="1" applyBorder="1" applyAlignment="1">
      <alignment horizontal="center" vertical="center" wrapText="1"/>
    </xf>
    <xf numFmtId="0" fontId="33" fillId="12" borderId="55" xfId="6" applyFont="1" applyFill="1" applyBorder="1" applyAlignment="1">
      <alignment horizontal="center" vertical="center" wrapText="1"/>
    </xf>
    <xf numFmtId="0" fontId="33" fillId="12" borderId="41" xfId="6" applyFont="1" applyFill="1" applyBorder="1" applyAlignment="1">
      <alignment horizontal="center" vertical="center" wrapText="1"/>
    </xf>
    <xf numFmtId="0" fontId="27" fillId="12" borderId="39" xfId="9" applyFont="1" applyFill="1" applyBorder="1" applyAlignment="1">
      <alignment horizontal="center" vertical="center" wrapText="1"/>
    </xf>
    <xf numFmtId="0" fontId="3" fillId="9" borderId="0" xfId="7" applyFont="1" applyFill="1" applyBorder="1" applyAlignment="1">
      <alignment horizontal="center" vertical="center" wrapText="1"/>
    </xf>
    <xf numFmtId="0" fontId="3" fillId="9" borderId="0" xfId="7" applyFont="1" applyFill="1" applyAlignment="1">
      <alignment horizontal="center" vertical="center" wrapText="1"/>
    </xf>
    <xf numFmtId="175" fontId="3" fillId="9" borderId="0" xfId="7" applyNumberFormat="1" applyFont="1" applyFill="1" applyAlignment="1">
      <alignment horizontal="center" vertical="center" wrapText="1"/>
    </xf>
    <xf numFmtId="10" fontId="3" fillId="0" borderId="34" xfId="7" applyNumberFormat="1" applyFont="1" applyBorder="1" applyAlignment="1">
      <alignment horizontal="center" vertical="center" wrapText="1"/>
    </xf>
    <xf numFmtId="0" fontId="3" fillId="0" borderId="88" xfId="7" applyFont="1" applyBorder="1" applyAlignment="1">
      <alignment horizontal="center" vertical="center" wrapText="1"/>
    </xf>
    <xf numFmtId="175" fontId="3" fillId="0" borderId="89" xfId="7" applyNumberFormat="1" applyFont="1" applyBorder="1" applyAlignment="1">
      <alignment horizontal="center" vertical="center" wrapText="1"/>
    </xf>
    <xf numFmtId="0" fontId="3" fillId="0" borderId="90" xfId="7" applyFont="1" applyBorder="1" applyAlignment="1">
      <alignment horizontal="center" vertical="center" wrapText="1"/>
    </xf>
    <xf numFmtId="0" fontId="3" fillId="9" borderId="85" xfId="7" applyFont="1" applyFill="1" applyBorder="1" applyAlignment="1">
      <alignment horizontal="center" vertical="center" wrapText="1"/>
    </xf>
    <xf numFmtId="175" fontId="3" fillId="9" borderId="86" xfId="7" applyNumberFormat="1" applyFont="1" applyFill="1" applyBorder="1" applyAlignment="1">
      <alignment horizontal="center" vertical="center" wrapText="1"/>
    </xf>
    <xf numFmtId="0" fontId="3" fillId="9" borderId="87" xfId="7" applyFont="1" applyFill="1" applyBorder="1" applyAlignment="1">
      <alignment horizontal="center" vertical="center" wrapText="1"/>
    </xf>
    <xf numFmtId="0" fontId="3" fillId="9" borderId="83" xfId="7" applyFont="1" applyFill="1" applyBorder="1" applyAlignment="1">
      <alignment horizontal="center" vertical="center" wrapText="1"/>
    </xf>
    <xf numFmtId="175" fontId="3" fillId="9" borderId="51" xfId="7" applyNumberFormat="1" applyFont="1" applyFill="1" applyBorder="1" applyAlignment="1">
      <alignment horizontal="center" vertical="center" wrapText="1"/>
    </xf>
    <xf numFmtId="0" fontId="3" fillId="9" borderId="84" xfId="7" applyFont="1" applyFill="1" applyBorder="1" applyAlignment="1">
      <alignment horizontal="center" vertical="center" wrapText="1"/>
    </xf>
  </cellXfs>
  <cellStyles count="12">
    <cellStyle name="Comma" xfId="1" builtinId="3"/>
    <cellStyle name="Comma 2" xfId="2" xr:uid="{00000000-0005-0000-0000-000001000000}"/>
    <cellStyle name="Hyperlink" xfId="3" builtinId="8"/>
    <cellStyle name="Hyperlink 2" xfId="4" xr:uid="{00000000-0005-0000-0000-000003000000}"/>
    <cellStyle name="Hyperlink 3" xfId="5" xr:uid="{00000000-0005-0000-0000-000004000000}"/>
    <cellStyle name="Hyperlink 4" xfId="6" xr:uid="{00000000-0005-0000-0000-000005000000}"/>
    <cellStyle name="Normal" xfId="0" builtinId="0"/>
    <cellStyle name="Normal 2" xfId="7" xr:uid="{00000000-0005-0000-0000-000007000000}"/>
    <cellStyle name="Normal 3" xfId="8" xr:uid="{00000000-0005-0000-0000-000008000000}"/>
    <cellStyle name="Normal 4" xfId="9" xr:uid="{00000000-0005-0000-0000-000009000000}"/>
    <cellStyle name="Normal 5" xfId="11" xr:uid="{00000000-0005-0000-0000-00000A000000}"/>
    <cellStyle name="Percent" xfId="10"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8</xdr:col>
      <xdr:colOff>259080</xdr:colOff>
      <xdr:row>33</xdr:row>
      <xdr:rowOff>0</xdr:rowOff>
    </xdr:from>
    <xdr:to>
      <xdr:col>10</xdr:col>
      <xdr:colOff>0</xdr:colOff>
      <xdr:row>33</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36030" y="4514850"/>
          <a:ext cx="93472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12</xdr:col>
      <xdr:colOff>533400</xdr:colOff>
      <xdr:row>55</xdr:row>
      <xdr:rowOff>106680</xdr:rowOff>
    </xdr:to>
    <xdr:pic>
      <xdr:nvPicPr>
        <xdr:cNvPr id="7235" name="Picture 1">
          <a:extLst>
            <a:ext uri="{FF2B5EF4-FFF2-40B4-BE49-F238E27FC236}">
              <a16:creationId xmlns:a16="http://schemas.microsoft.com/office/drawing/2014/main" id="{00000000-0008-0000-0C00-0000431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77840"/>
          <a:ext cx="8191500" cy="5074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18</xdr:col>
          <xdr:colOff>0</xdr:colOff>
          <xdr:row>28</xdr:row>
          <xdr:rowOff>22860</xdr:rowOff>
        </xdr:from>
        <xdr:to>
          <xdr:col>18</xdr:col>
          <xdr:colOff>769620</xdr:colOff>
          <xdr:row>29</xdr:row>
          <xdr:rowOff>68580</xdr:rowOff>
        </xdr:to>
        <xdr:sp macro="" textlink="">
          <xdr:nvSpPr>
            <xdr:cNvPr id="7199" name="Control 31" hidden="1">
              <a:extLst>
                <a:ext uri="{63B3BB69-23CF-44E3-9099-C40C66FF867C}">
                  <a14:compatExt spid="_x0000_s7199"/>
                </a:ext>
                <a:ext uri="{FF2B5EF4-FFF2-40B4-BE49-F238E27FC236}">
                  <a16:creationId xmlns:a16="http://schemas.microsoft.com/office/drawing/2014/main" id="{00000000-0008-0000-0C00-00001F1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29</xdr:row>
          <xdr:rowOff>22860</xdr:rowOff>
        </xdr:from>
        <xdr:to>
          <xdr:col>18</xdr:col>
          <xdr:colOff>769620</xdr:colOff>
          <xdr:row>30</xdr:row>
          <xdr:rowOff>60960</xdr:rowOff>
        </xdr:to>
        <xdr:sp macro="" textlink="">
          <xdr:nvSpPr>
            <xdr:cNvPr id="7200" name="Control 32" hidden="1">
              <a:extLst>
                <a:ext uri="{63B3BB69-23CF-44E3-9099-C40C66FF867C}">
                  <a14:compatExt spid="_x0000_s7200"/>
                </a:ext>
                <a:ext uri="{FF2B5EF4-FFF2-40B4-BE49-F238E27FC236}">
                  <a16:creationId xmlns:a16="http://schemas.microsoft.com/office/drawing/2014/main" id="{00000000-0008-0000-0C00-0000201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30</xdr:row>
          <xdr:rowOff>22860</xdr:rowOff>
        </xdr:from>
        <xdr:to>
          <xdr:col>18</xdr:col>
          <xdr:colOff>769620</xdr:colOff>
          <xdr:row>31</xdr:row>
          <xdr:rowOff>68580</xdr:rowOff>
        </xdr:to>
        <xdr:sp macro="" textlink="">
          <xdr:nvSpPr>
            <xdr:cNvPr id="7201" name="Control 33" hidden="1">
              <a:extLst>
                <a:ext uri="{63B3BB69-23CF-44E3-9099-C40C66FF867C}">
                  <a14:compatExt spid="_x0000_s7201"/>
                </a:ext>
                <a:ext uri="{FF2B5EF4-FFF2-40B4-BE49-F238E27FC236}">
                  <a16:creationId xmlns:a16="http://schemas.microsoft.com/office/drawing/2014/main" id="{00000000-0008-0000-0C00-0000211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31</xdr:row>
          <xdr:rowOff>22860</xdr:rowOff>
        </xdr:from>
        <xdr:to>
          <xdr:col>18</xdr:col>
          <xdr:colOff>769620</xdr:colOff>
          <xdr:row>32</xdr:row>
          <xdr:rowOff>60960</xdr:rowOff>
        </xdr:to>
        <xdr:sp macro="" textlink="">
          <xdr:nvSpPr>
            <xdr:cNvPr id="7202" name="Control 34" hidden="1">
              <a:extLst>
                <a:ext uri="{63B3BB69-23CF-44E3-9099-C40C66FF867C}">
                  <a14:compatExt spid="_x0000_s7202"/>
                </a:ext>
                <a:ext uri="{FF2B5EF4-FFF2-40B4-BE49-F238E27FC236}">
                  <a16:creationId xmlns:a16="http://schemas.microsoft.com/office/drawing/2014/main" id="{00000000-0008-0000-0C00-0000221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c.europa.eu/eurostat" TargetMode="External"/><Relationship Id="rId1" Type="http://schemas.openxmlformats.org/officeDocument/2006/relationships/hyperlink" Target="http://www.usinflationcalculator.com/inflation/current-inflation-ra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eprints.whiterose.ac.uk/104595/1/European%20meta%20paper%20final%20accepted%20for%20publication.pdf" TargetMode="External"/><Relationship Id="rId1" Type="http://schemas.openxmlformats.org/officeDocument/2006/relationships/hyperlink" Target="https://assets.publishing.service.gov.uk/government/uploads/system/uploads/attachment_data/file/372606/AC08a_tagged.pdf"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hyperlink" Target="https://www.cedelft.eu/en/publications/2311/handbook-on-the-external-costs-of-transport-version-2019"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ec.europa.eu/transport/sites/transport/files/studies/internalisation-handbook-isbn-978-92-79-96917-1.pdf" TargetMode="External"/><Relationship Id="rId2" Type="http://schemas.openxmlformats.org/officeDocument/2006/relationships/hyperlink" Target="https://dspace.lib.cranfield.ac.uk/bitstream/1826/3151/1/Determination%20and%20Applications%20of%20Environmental%20Costs%20at%20Different%20Sized%20Airports-2006.pdf" TargetMode="External"/><Relationship Id="rId1" Type="http://schemas.openxmlformats.org/officeDocument/2006/relationships/hyperlink" Target="http://www.cedelft.eu/publicatie/external_costs_of_transport_in_europe/1258"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ec.europa.eu/transport/sites/transport/files/studies/internalisation-handbook-isbn-978-92-79-96917-1.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http://www.iata.org/whatwedo/Documents/economics/IATA-economic-briefing-financial-forecast-March-2014.pdf" TargetMode="External"/><Relationship Id="rId2" Type="http://schemas.openxmlformats.org/officeDocument/2006/relationships/hyperlink" Target="http://www.iata.org/whatwedo/Documents/economics/Industry-Outlook-Dec2012.pdf" TargetMode="External"/><Relationship Id="rId1" Type="http://schemas.openxmlformats.org/officeDocument/2006/relationships/hyperlink" Target="http://sdw.ecb.europa.eu/" TargetMode="External"/><Relationship Id="rId6" Type="http://schemas.openxmlformats.org/officeDocument/2006/relationships/printerSettings" Target="../printerSettings/printerSettings10.bin"/><Relationship Id="rId5" Type="http://schemas.openxmlformats.org/officeDocument/2006/relationships/hyperlink" Target="http://www.iata.org/whatwedo/Documents/economics/Central-forecast-end-year-2016-tables.pdf" TargetMode="External"/><Relationship Id="rId4" Type="http://schemas.openxmlformats.org/officeDocument/2006/relationships/hyperlink" Target="http://www.iata.org/whatwedo/Documents/economics/Central-forecast-Dec-2014-Figures.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control" Target="../activeX/activeX4.xml"/><Relationship Id="rId3" Type="http://schemas.openxmlformats.org/officeDocument/2006/relationships/hyperlink" Target="http://www.usinflationcalculator.com/" TargetMode="External"/><Relationship Id="rId7" Type="http://schemas.openxmlformats.org/officeDocument/2006/relationships/control" Target="../activeX/activeX1.xml"/><Relationship Id="rId12" Type="http://schemas.openxmlformats.org/officeDocument/2006/relationships/image" Target="../media/image4.emf"/><Relationship Id="rId2" Type="http://schemas.openxmlformats.org/officeDocument/2006/relationships/hyperlink" Target="http://www.usinflationcalculator.com/" TargetMode="External"/><Relationship Id="rId1" Type="http://schemas.openxmlformats.org/officeDocument/2006/relationships/hyperlink" Target="http://www.iata.org/whatwedo/workgroups/Documents/acc-2013-gva/0930-1015_AOCTF_FY2012_Report_FERJAN.pdf" TargetMode="External"/><Relationship Id="rId6" Type="http://schemas.openxmlformats.org/officeDocument/2006/relationships/vmlDrawing" Target="../drawings/vmlDrawing1.vml"/><Relationship Id="rId11" Type="http://schemas.openxmlformats.org/officeDocument/2006/relationships/control" Target="../activeX/activeX3.xml"/><Relationship Id="rId5" Type="http://schemas.openxmlformats.org/officeDocument/2006/relationships/drawing" Target="../drawings/drawing2.xml"/><Relationship Id="rId10" Type="http://schemas.openxmlformats.org/officeDocument/2006/relationships/image" Target="../media/image3.emf"/><Relationship Id="rId4" Type="http://schemas.openxmlformats.org/officeDocument/2006/relationships/printerSettings" Target="../printerSettings/printerSettings12.bin"/><Relationship Id="rId9" Type="http://schemas.openxmlformats.org/officeDocument/2006/relationships/control" Target="../activeX/activeX2.xml"/><Relationship Id="rId14" Type="http://schemas.openxmlformats.org/officeDocument/2006/relationships/image" Target="../media/image5.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L70"/>
  <sheetViews>
    <sheetView tabSelected="1" zoomScaleNormal="100" workbookViewId="0">
      <selection activeCell="E20" sqref="E20"/>
    </sheetView>
  </sheetViews>
  <sheetFormatPr defaultColWidth="9.28515625" defaultRowHeight="10.199999999999999" x14ac:dyDescent="0.2"/>
  <cols>
    <col min="1" max="1" width="5.7109375" bestFit="1" customWidth="1"/>
    <col min="3" max="3" width="16.140625" customWidth="1"/>
    <col min="4" max="4" width="17.28515625" customWidth="1"/>
    <col min="5" max="5" width="11.85546875" customWidth="1"/>
    <col min="6" max="6" width="15.42578125" customWidth="1"/>
    <col min="7" max="7" width="14.42578125" style="281" customWidth="1"/>
    <col min="8" max="9" width="13.7109375" customWidth="1"/>
    <col min="10" max="10" width="14.28515625" customWidth="1"/>
    <col min="11" max="11" width="7.28515625" customWidth="1"/>
    <col min="12" max="12" width="16.140625" customWidth="1"/>
    <col min="13" max="13" width="15.28515625" customWidth="1"/>
    <col min="14" max="14" width="11.85546875" customWidth="1"/>
    <col min="16" max="16" width="16.140625" customWidth="1"/>
    <col min="17" max="17" width="15.28515625" customWidth="1"/>
    <col min="18" max="18" width="11.85546875" customWidth="1"/>
    <col min="20" max="20" width="16.140625" customWidth="1"/>
    <col min="21" max="21" width="15.28515625" customWidth="1"/>
    <col min="22" max="22" width="11.85546875" customWidth="1"/>
    <col min="24" max="24" width="16.140625" customWidth="1"/>
    <col min="25" max="25" width="15.28515625" customWidth="1"/>
    <col min="26" max="26" width="11.85546875" customWidth="1"/>
    <col min="28" max="28" width="16.140625" customWidth="1"/>
    <col min="29" max="29" width="15.28515625" customWidth="1"/>
    <col min="30" max="30" width="11.85546875" customWidth="1"/>
    <col min="32" max="32" width="16.140625" customWidth="1"/>
    <col min="33" max="33" width="15.28515625" customWidth="1"/>
    <col min="34" max="34" width="11.85546875" customWidth="1"/>
    <col min="36" max="36" width="16.140625" customWidth="1"/>
    <col min="37" max="37" width="15.28515625" customWidth="1"/>
    <col min="38" max="38" width="11.85546875" customWidth="1"/>
  </cols>
  <sheetData>
    <row r="2" spans="1:38" ht="15" customHeight="1" x14ac:dyDescent="0.25">
      <c r="C2" s="11" t="s">
        <v>671</v>
      </c>
      <c r="D2" s="68" t="s">
        <v>756</v>
      </c>
      <c r="L2" s="11" t="s">
        <v>640</v>
      </c>
      <c r="P2" s="11" t="s">
        <v>10</v>
      </c>
    </row>
    <row r="3" spans="1:38" ht="15" customHeight="1" x14ac:dyDescent="0.25">
      <c r="D3" s="278" t="s">
        <v>757</v>
      </c>
      <c r="G3" s="282" t="s">
        <v>81</v>
      </c>
      <c r="L3" s="220" t="s">
        <v>662</v>
      </c>
      <c r="P3" s="11" t="s">
        <v>758</v>
      </c>
      <c r="T3" s="11" t="s">
        <v>11</v>
      </c>
      <c r="U3" s="11" t="s">
        <v>758</v>
      </c>
      <c r="X3" s="11" t="s">
        <v>14</v>
      </c>
      <c r="Y3" s="11" t="s">
        <v>758</v>
      </c>
      <c r="AB3" s="11" t="s">
        <v>20</v>
      </c>
      <c r="AC3" s="11" t="s">
        <v>758</v>
      </c>
      <c r="AF3" s="11" t="s">
        <v>433</v>
      </c>
      <c r="AG3" s="11" t="s">
        <v>758</v>
      </c>
      <c r="AJ3" s="11" t="s">
        <v>17</v>
      </c>
      <c r="AK3" s="11" t="s">
        <v>758</v>
      </c>
    </row>
    <row r="4" spans="1:38" ht="10.8" thickBot="1" x14ac:dyDescent="0.25">
      <c r="A4" s="2"/>
      <c r="G4" s="280" t="s">
        <v>732</v>
      </c>
      <c r="H4" s="279" t="s">
        <v>733</v>
      </c>
      <c r="I4" s="279" t="s">
        <v>734</v>
      </c>
    </row>
    <row r="5" spans="1:38" ht="13.95" customHeight="1" thickBot="1" x14ac:dyDescent="0.25">
      <c r="A5" s="3"/>
      <c r="C5" s="542" t="s">
        <v>91</v>
      </c>
      <c r="D5" s="543"/>
      <c r="E5" s="544"/>
      <c r="G5" s="281">
        <v>2012</v>
      </c>
      <c r="H5" s="12">
        <v>1.2847999999999999</v>
      </c>
      <c r="I5" s="12">
        <v>0.81086999999999998</v>
      </c>
      <c r="J5" s="11" t="s">
        <v>849</v>
      </c>
      <c r="K5" s="13"/>
      <c r="L5" s="539" t="s">
        <v>91</v>
      </c>
      <c r="M5" s="540"/>
      <c r="N5" s="541"/>
      <c r="P5" s="539" t="s">
        <v>91</v>
      </c>
      <c r="Q5" s="540"/>
      <c r="R5" s="541"/>
      <c r="T5" s="539" t="s">
        <v>91</v>
      </c>
      <c r="U5" s="540"/>
      <c r="V5" s="541"/>
      <c r="X5" s="539" t="s">
        <v>91</v>
      </c>
      <c r="Y5" s="540"/>
      <c r="Z5" s="541"/>
      <c r="AB5" s="539" t="s">
        <v>91</v>
      </c>
      <c r="AC5" s="540"/>
      <c r="AD5" s="541"/>
      <c r="AF5" s="539" t="s">
        <v>91</v>
      </c>
      <c r="AG5" s="540"/>
      <c r="AH5" s="541"/>
      <c r="AJ5" s="539" t="s">
        <v>91</v>
      </c>
      <c r="AK5" s="540"/>
      <c r="AL5" s="541"/>
    </row>
    <row r="6" spans="1:38" ht="13.2" x14ac:dyDescent="0.2">
      <c r="A6" s="3"/>
      <c r="C6" s="36" t="s">
        <v>92</v>
      </c>
      <c r="D6" s="37" t="s">
        <v>93</v>
      </c>
      <c r="E6" s="38" t="s">
        <v>94</v>
      </c>
      <c r="G6" s="281">
        <v>2013</v>
      </c>
      <c r="H6" s="12">
        <v>1.3281000000000001</v>
      </c>
      <c r="I6" s="12">
        <v>0.84926000000000001</v>
      </c>
      <c r="J6" s="11" t="s">
        <v>850</v>
      </c>
      <c r="L6" s="205" t="s">
        <v>92</v>
      </c>
      <c r="M6" s="206" t="s">
        <v>93</v>
      </c>
      <c r="N6" s="207" t="s">
        <v>94</v>
      </c>
      <c r="P6" s="205" t="s">
        <v>92</v>
      </c>
      <c r="Q6" s="206" t="s">
        <v>93</v>
      </c>
      <c r="R6" s="207" t="s">
        <v>94</v>
      </c>
      <c r="T6" s="205" t="s">
        <v>92</v>
      </c>
      <c r="U6" s="206" t="s">
        <v>93</v>
      </c>
      <c r="V6" s="207" t="s">
        <v>94</v>
      </c>
      <c r="X6" s="205" t="s">
        <v>92</v>
      </c>
      <c r="Y6" s="206" t="s">
        <v>93</v>
      </c>
      <c r="Z6" s="207" t="s">
        <v>94</v>
      </c>
      <c r="AB6" s="205" t="s">
        <v>92</v>
      </c>
      <c r="AC6" s="206" t="s">
        <v>93</v>
      </c>
      <c r="AD6" s="207" t="s">
        <v>94</v>
      </c>
      <c r="AF6" s="205" t="s">
        <v>92</v>
      </c>
      <c r="AG6" s="206" t="s">
        <v>93</v>
      </c>
      <c r="AH6" s="207" t="s">
        <v>94</v>
      </c>
      <c r="AJ6" s="205" t="s">
        <v>92</v>
      </c>
      <c r="AK6" s="206" t="s">
        <v>93</v>
      </c>
      <c r="AL6" s="207" t="s">
        <v>94</v>
      </c>
    </row>
    <row r="7" spans="1:38" ht="13.8" thickBot="1" x14ac:dyDescent="0.25">
      <c r="A7" s="3"/>
      <c r="C7" s="33">
        <v>1996</v>
      </c>
      <c r="D7" s="534">
        <v>70.34</v>
      </c>
      <c r="E7" s="35"/>
      <c r="G7" s="281">
        <v>2014</v>
      </c>
      <c r="H7" s="12">
        <v>1.3285</v>
      </c>
      <c r="I7" s="12">
        <v>0.80611999999999995</v>
      </c>
      <c r="J7" s="11" t="s">
        <v>843</v>
      </c>
      <c r="L7" s="208">
        <v>1996</v>
      </c>
      <c r="M7" s="221">
        <v>156.9</v>
      </c>
      <c r="N7" s="210">
        <v>3</v>
      </c>
      <c r="P7" s="208">
        <v>1996</v>
      </c>
      <c r="Q7" s="209">
        <v>74.930000000000007</v>
      </c>
      <c r="R7" s="210">
        <v>2.1</v>
      </c>
      <c r="T7" s="208">
        <v>1996</v>
      </c>
      <c r="U7" s="209">
        <v>76.2</v>
      </c>
      <c r="V7" s="275"/>
      <c r="X7" s="208">
        <v>1996</v>
      </c>
      <c r="Y7" s="209">
        <v>68.5</v>
      </c>
      <c r="Z7" s="210">
        <v>4</v>
      </c>
      <c r="AB7" s="208">
        <v>1996</v>
      </c>
      <c r="AC7" s="209">
        <v>64.930000000000007</v>
      </c>
      <c r="AD7" s="210">
        <v>3.6</v>
      </c>
      <c r="AF7" s="208">
        <v>1996</v>
      </c>
      <c r="AG7" s="209">
        <v>68.8</v>
      </c>
      <c r="AH7" s="210">
        <v>2.5</v>
      </c>
      <c r="AJ7" s="208">
        <v>1996</v>
      </c>
      <c r="AK7" s="209">
        <v>68.83</v>
      </c>
      <c r="AL7" s="210" t="s">
        <v>627</v>
      </c>
    </row>
    <row r="8" spans="1:38" ht="13.8" thickBot="1" x14ac:dyDescent="0.25">
      <c r="A8" s="3"/>
      <c r="C8" s="31">
        <v>1997</v>
      </c>
      <c r="D8" s="535">
        <v>71.56</v>
      </c>
      <c r="E8" s="274">
        <v>1.73443275518908E-2</v>
      </c>
      <c r="F8" s="273"/>
      <c r="G8" s="281">
        <v>2015</v>
      </c>
      <c r="H8">
        <v>1.1094999999999999</v>
      </c>
      <c r="I8">
        <v>0.72584000000000004</v>
      </c>
      <c r="J8" s="11" t="s">
        <v>844</v>
      </c>
      <c r="L8" s="211">
        <v>1997</v>
      </c>
      <c r="M8" s="222">
        <v>160.5</v>
      </c>
      <c r="N8" s="213">
        <v>2.2999999999999998</v>
      </c>
      <c r="O8" s="274"/>
      <c r="P8" s="211">
        <v>1997</v>
      </c>
      <c r="Q8" s="212">
        <v>75.88</v>
      </c>
      <c r="R8" s="275">
        <f t="shared" ref="R8:R30" si="0">(Q8-Q7)/Q7</f>
        <v>1.2678499933270901E-2</v>
      </c>
      <c r="T8" s="211">
        <v>1997</v>
      </c>
      <c r="U8" s="212">
        <v>77.3</v>
      </c>
      <c r="V8" s="275">
        <f t="shared" ref="V8:V30" si="1">(U8-U7)/U7</f>
        <v>1.4435695538057668E-2</v>
      </c>
      <c r="X8" s="211">
        <v>1997</v>
      </c>
      <c r="Y8" s="212">
        <v>69.8</v>
      </c>
      <c r="Z8" s="275">
        <f t="shared" ref="Z8:Z30" si="2">(Y8-Y7)/Y7</f>
        <v>1.8978102189780979E-2</v>
      </c>
      <c r="AB8" s="211">
        <v>1997</v>
      </c>
      <c r="AC8" s="212">
        <v>66.150000000000006</v>
      </c>
      <c r="AD8" s="275">
        <f t="shared" ref="AD8:AD30" si="3">(AC8-AC7)/AC7</f>
        <v>1.8789465578315089E-2</v>
      </c>
      <c r="AF8" s="211">
        <v>1997</v>
      </c>
      <c r="AG8" s="212">
        <v>70.099999999999994</v>
      </c>
      <c r="AH8" s="275">
        <f t="shared" ref="AH8:AH30" si="4">(AG8-AG7)/AG7</f>
        <v>1.8895348837209263E-2</v>
      </c>
      <c r="AJ8" s="211">
        <v>1997</v>
      </c>
      <c r="AK8" s="212">
        <v>70.11</v>
      </c>
      <c r="AL8" s="275">
        <f t="shared" ref="AL8:AL30" si="5">(AK8-AK7)/AK7</f>
        <v>1.8596542205433695E-2</v>
      </c>
    </row>
    <row r="9" spans="1:38" ht="13.8" thickBot="1" x14ac:dyDescent="0.25">
      <c r="A9" s="3"/>
      <c r="C9" s="33">
        <v>1998</v>
      </c>
      <c r="D9" s="534">
        <v>72.48</v>
      </c>
      <c r="E9" s="275">
        <v>1.2856344326439374E-2</v>
      </c>
      <c r="F9" s="273"/>
      <c r="G9" s="281">
        <v>2016</v>
      </c>
      <c r="H9">
        <v>1.1069</v>
      </c>
      <c r="I9">
        <v>0.81947999999999999</v>
      </c>
      <c r="J9" s="11" t="s">
        <v>845</v>
      </c>
      <c r="L9" s="208">
        <v>1998</v>
      </c>
      <c r="M9" s="221">
        <v>163</v>
      </c>
      <c r="N9" s="210">
        <v>1.6</v>
      </c>
      <c r="O9" s="274"/>
      <c r="P9" s="208">
        <v>1998</v>
      </c>
      <c r="Q9" s="209">
        <v>76.400000000000006</v>
      </c>
      <c r="R9" s="275">
        <f t="shared" si="0"/>
        <v>6.8529256721139992E-3</v>
      </c>
      <c r="T9" s="208">
        <v>1998</v>
      </c>
      <c r="U9" s="209">
        <v>77.8</v>
      </c>
      <c r="V9" s="275">
        <f t="shared" si="1"/>
        <v>6.4683053040103496E-3</v>
      </c>
      <c r="X9" s="208">
        <v>1998</v>
      </c>
      <c r="Y9" s="209">
        <v>71.2</v>
      </c>
      <c r="Z9" s="275">
        <f t="shared" si="2"/>
        <v>2.0057306590257961E-2</v>
      </c>
      <c r="AB9" s="208">
        <v>1998</v>
      </c>
      <c r="AC9" s="209">
        <v>67.31</v>
      </c>
      <c r="AD9" s="275">
        <f t="shared" si="3"/>
        <v>1.753590325018891E-2</v>
      </c>
      <c r="AF9" s="208">
        <v>1998</v>
      </c>
      <c r="AG9" s="209">
        <v>71.2</v>
      </c>
      <c r="AH9" s="275">
        <f t="shared" si="4"/>
        <v>1.5691868758915959E-2</v>
      </c>
      <c r="AJ9" s="208">
        <v>1998</v>
      </c>
      <c r="AK9" s="209">
        <v>71.36</v>
      </c>
      <c r="AL9" s="275">
        <f t="shared" si="5"/>
        <v>1.7829125659677651E-2</v>
      </c>
    </row>
    <row r="10" spans="1:38" ht="13.8" thickBot="1" x14ac:dyDescent="0.25">
      <c r="A10" s="3"/>
      <c r="C10" s="31">
        <v>1999</v>
      </c>
      <c r="D10" s="535">
        <v>73.34</v>
      </c>
      <c r="E10" s="274">
        <v>1.18653421633554E-2</v>
      </c>
      <c r="F10" s="273"/>
      <c r="G10" s="281">
        <v>2017</v>
      </c>
      <c r="H10">
        <v>1.1296999999999999</v>
      </c>
      <c r="I10">
        <v>0.87666999999999995</v>
      </c>
      <c r="J10" s="11" t="s">
        <v>846</v>
      </c>
      <c r="L10" s="211">
        <v>1999</v>
      </c>
      <c r="M10" s="222">
        <v>166.6</v>
      </c>
      <c r="N10" s="213">
        <v>2.2000000000000002</v>
      </c>
      <c r="O10" s="274"/>
      <c r="P10" s="211">
        <v>1999</v>
      </c>
      <c r="Q10" s="212">
        <v>76.83</v>
      </c>
      <c r="R10" s="275">
        <f t="shared" si="0"/>
        <v>5.6282722513088038E-3</v>
      </c>
      <c r="T10" s="211">
        <v>1999</v>
      </c>
      <c r="U10" s="212">
        <v>78.3</v>
      </c>
      <c r="V10" s="275">
        <f t="shared" si="1"/>
        <v>6.4267352185089976E-3</v>
      </c>
      <c r="X10" s="211">
        <v>1999</v>
      </c>
      <c r="Y10" s="212">
        <v>72.3</v>
      </c>
      <c r="Z10" s="275">
        <f t="shared" si="2"/>
        <v>1.5449438202247111E-2</v>
      </c>
      <c r="AB10" s="211">
        <v>1999</v>
      </c>
      <c r="AC10" s="212">
        <v>68.819999999999993</v>
      </c>
      <c r="AD10" s="275">
        <f t="shared" si="3"/>
        <v>2.2433516565146201E-2</v>
      </c>
      <c r="AF10" s="211">
        <v>1999</v>
      </c>
      <c r="AG10" s="212">
        <v>72.099999999999994</v>
      </c>
      <c r="AH10" s="275">
        <f t="shared" si="4"/>
        <v>1.2640449438202127E-2</v>
      </c>
      <c r="AJ10" s="211">
        <v>1999</v>
      </c>
      <c r="AK10" s="212">
        <v>72.81</v>
      </c>
      <c r="AL10" s="275">
        <f t="shared" si="5"/>
        <v>2.031950672645744E-2</v>
      </c>
    </row>
    <row r="11" spans="1:38" ht="13.8" thickBot="1" x14ac:dyDescent="0.25">
      <c r="A11" s="2"/>
      <c r="C11" s="33">
        <v>2000</v>
      </c>
      <c r="D11" s="534">
        <v>74.73</v>
      </c>
      <c r="E11" s="275">
        <v>1.8952822470684489E-2</v>
      </c>
      <c r="F11" s="273"/>
      <c r="G11" s="281">
        <v>2018</v>
      </c>
      <c r="H11">
        <v>1.181</v>
      </c>
      <c r="I11">
        <v>0.88471</v>
      </c>
      <c r="J11" s="11" t="s">
        <v>847</v>
      </c>
      <c r="L11" s="208">
        <v>2000</v>
      </c>
      <c r="M11" s="221">
        <v>172.2</v>
      </c>
      <c r="N11" s="210">
        <v>3.4</v>
      </c>
      <c r="O11" s="274"/>
      <c r="P11" s="208">
        <v>2000</v>
      </c>
      <c r="Q11" s="209">
        <v>78.23</v>
      </c>
      <c r="R11" s="275">
        <f t="shared" si="0"/>
        <v>1.8222048678901544E-2</v>
      </c>
      <c r="T11" s="208">
        <v>2000</v>
      </c>
      <c r="U11" s="209">
        <v>79.400000000000006</v>
      </c>
      <c r="V11" s="275">
        <f t="shared" si="1"/>
        <v>1.404853128991071E-2</v>
      </c>
      <c r="X11" s="208">
        <v>2000</v>
      </c>
      <c r="Y11" s="209">
        <v>74.2</v>
      </c>
      <c r="Z11" s="275">
        <f t="shared" si="2"/>
        <v>2.627939142461972E-2</v>
      </c>
      <c r="AB11" s="208">
        <v>2000</v>
      </c>
      <c r="AC11" s="209">
        <v>71.22</v>
      </c>
      <c r="AD11" s="275">
        <f t="shared" si="3"/>
        <v>3.4873583260680123E-2</v>
      </c>
      <c r="AF11" s="208">
        <v>2000</v>
      </c>
      <c r="AG11" s="209">
        <v>72.7</v>
      </c>
      <c r="AH11" s="275">
        <f t="shared" si="4"/>
        <v>8.3217753120666937E-3</v>
      </c>
      <c r="AJ11" s="208">
        <v>2000</v>
      </c>
      <c r="AK11" s="209">
        <v>74.510000000000005</v>
      </c>
      <c r="AL11" s="275">
        <f t="shared" si="5"/>
        <v>2.3348441148193969E-2</v>
      </c>
    </row>
    <row r="12" spans="1:38" ht="13.8" thickBot="1" x14ac:dyDescent="0.25">
      <c r="A12" s="3"/>
      <c r="C12" s="31">
        <v>2001</v>
      </c>
      <c r="D12" s="535">
        <v>76.37</v>
      </c>
      <c r="E12" s="274">
        <v>2.1945671082563904E-2</v>
      </c>
      <c r="F12" s="273"/>
      <c r="G12" s="281">
        <v>2019</v>
      </c>
      <c r="H12">
        <v>1.1194999999999999</v>
      </c>
      <c r="I12">
        <v>0.87777000000000005</v>
      </c>
      <c r="J12" s="11" t="s">
        <v>848</v>
      </c>
      <c r="L12" s="211">
        <v>2001</v>
      </c>
      <c r="M12" s="222">
        <v>177.1</v>
      </c>
      <c r="N12" s="213">
        <v>2.8</v>
      </c>
      <c r="O12" s="274"/>
      <c r="P12" s="211">
        <v>2001</v>
      </c>
      <c r="Q12" s="212">
        <v>79.62</v>
      </c>
      <c r="R12" s="275">
        <f t="shared" si="0"/>
        <v>1.7768119647194179E-2</v>
      </c>
      <c r="T12" s="211">
        <v>2001</v>
      </c>
      <c r="U12" s="212">
        <v>80.900000000000006</v>
      </c>
      <c r="V12" s="275">
        <f t="shared" si="1"/>
        <v>1.8891687657430729E-2</v>
      </c>
      <c r="X12" s="211">
        <v>2001</v>
      </c>
      <c r="Y12" s="212">
        <v>75.900000000000006</v>
      </c>
      <c r="Z12" s="275">
        <f t="shared" si="2"/>
        <v>2.2911051212938044E-2</v>
      </c>
      <c r="AB12" s="211">
        <v>2001</v>
      </c>
      <c r="AC12" s="212">
        <v>73.23</v>
      </c>
      <c r="AD12" s="275">
        <f t="shared" si="3"/>
        <v>2.8222409435551883E-2</v>
      </c>
      <c r="AF12" s="211">
        <v>2001</v>
      </c>
      <c r="AG12" s="212">
        <v>73.599999999999994</v>
      </c>
      <c r="AH12" s="275">
        <f t="shared" si="4"/>
        <v>1.2379642365887089E-2</v>
      </c>
      <c r="AJ12" s="211">
        <v>2001</v>
      </c>
      <c r="AK12" s="212">
        <v>78.319999999999993</v>
      </c>
      <c r="AL12" s="275">
        <f t="shared" si="5"/>
        <v>5.1134075962957826E-2</v>
      </c>
    </row>
    <row r="13" spans="1:38" ht="13.8" thickBot="1" x14ac:dyDescent="0.25">
      <c r="A13" s="4"/>
      <c r="C13" s="33">
        <v>2002</v>
      </c>
      <c r="D13" s="534">
        <v>77.959999999999994</v>
      </c>
      <c r="E13" s="275">
        <v>2.0819693596962015E-2</v>
      </c>
      <c r="F13" s="273"/>
      <c r="G13" s="281">
        <v>2020</v>
      </c>
      <c r="L13" s="208">
        <v>2002</v>
      </c>
      <c r="M13" s="221">
        <v>179.9</v>
      </c>
      <c r="N13" s="210">
        <v>1.6</v>
      </c>
      <c r="O13" s="274"/>
      <c r="P13" s="208">
        <v>2002</v>
      </c>
      <c r="Q13" s="209">
        <v>81.16</v>
      </c>
      <c r="R13" s="275">
        <f t="shared" si="0"/>
        <v>1.9341873901029791E-2</v>
      </c>
      <c r="T13" s="208">
        <v>2002</v>
      </c>
      <c r="U13" s="209">
        <v>82</v>
      </c>
      <c r="V13" s="275">
        <f t="shared" si="1"/>
        <v>1.3597033374536393E-2</v>
      </c>
      <c r="X13" s="208">
        <v>2002</v>
      </c>
      <c r="Y13" s="209">
        <v>77.900000000000006</v>
      </c>
      <c r="Z13" s="275">
        <f t="shared" si="2"/>
        <v>2.6350461133069828E-2</v>
      </c>
      <c r="AB13" s="208">
        <v>2002</v>
      </c>
      <c r="AC13" s="209">
        <v>75.86</v>
      </c>
      <c r="AD13" s="275">
        <f t="shared" si="3"/>
        <v>3.5914242796667967E-2</v>
      </c>
      <c r="AF13" s="208">
        <v>2002</v>
      </c>
      <c r="AG13" s="209">
        <v>74.5</v>
      </c>
      <c r="AH13" s="275">
        <f t="shared" si="4"/>
        <v>1.2228260869565296E-2</v>
      </c>
      <c r="AJ13" s="208">
        <v>2002</v>
      </c>
      <c r="AK13" s="209">
        <v>81.349999999999994</v>
      </c>
      <c r="AL13" s="275">
        <f t="shared" si="5"/>
        <v>3.8687436159346292E-2</v>
      </c>
    </row>
    <row r="14" spans="1:38" ht="13.8" thickBot="1" x14ac:dyDescent="0.25">
      <c r="A14" s="4"/>
      <c r="C14" s="31">
        <v>2003</v>
      </c>
      <c r="D14" s="535">
        <v>79.489999999999995</v>
      </c>
      <c r="E14" s="274">
        <v>1.9625448948178571E-2</v>
      </c>
      <c r="F14" s="273"/>
      <c r="G14" s="281">
        <v>2021</v>
      </c>
      <c r="L14" s="211">
        <v>2003</v>
      </c>
      <c r="M14" s="222">
        <v>184</v>
      </c>
      <c r="N14" s="213">
        <v>2.2999999999999998</v>
      </c>
      <c r="O14" s="274"/>
      <c r="P14" s="211">
        <v>2003</v>
      </c>
      <c r="Q14" s="212">
        <v>82.93</v>
      </c>
      <c r="R14" s="275">
        <f t="shared" si="0"/>
        <v>2.1808772794480166E-2</v>
      </c>
      <c r="T14" s="211">
        <v>2003</v>
      </c>
      <c r="U14" s="212">
        <v>82.8</v>
      </c>
      <c r="V14" s="275">
        <f t="shared" si="1"/>
        <v>9.7560975609755751E-3</v>
      </c>
      <c r="X14" s="211">
        <v>2003</v>
      </c>
      <c r="Y14" s="212">
        <v>80.099999999999994</v>
      </c>
      <c r="Z14" s="275">
        <f t="shared" si="2"/>
        <v>2.8241335044929247E-2</v>
      </c>
      <c r="AB14" s="211">
        <v>2003</v>
      </c>
      <c r="AC14" s="212">
        <v>78.209999999999994</v>
      </c>
      <c r="AD14" s="275">
        <f t="shared" si="3"/>
        <v>3.0978117585024972E-2</v>
      </c>
      <c r="AF14" s="211">
        <v>2003</v>
      </c>
      <c r="AG14" s="212">
        <v>75.5</v>
      </c>
      <c r="AH14" s="275">
        <f t="shared" si="4"/>
        <v>1.3422818791946308E-2</v>
      </c>
      <c r="AJ14" s="211">
        <v>2003</v>
      </c>
      <c r="AK14" s="212">
        <v>83.16</v>
      </c>
      <c r="AL14" s="275">
        <f t="shared" si="5"/>
        <v>2.2249539028887554E-2</v>
      </c>
    </row>
    <row r="15" spans="1:38" ht="13.8" thickBot="1" x14ac:dyDescent="0.25">
      <c r="A15" s="3"/>
      <c r="C15" s="33">
        <v>2004</v>
      </c>
      <c r="D15" s="534">
        <v>81.09</v>
      </c>
      <c r="E15" s="275">
        <v>2.0128318027424943E-2</v>
      </c>
      <c r="F15" s="273"/>
      <c r="G15" s="281">
        <v>2022</v>
      </c>
      <c r="L15" s="208">
        <v>2004</v>
      </c>
      <c r="M15" s="221">
        <v>188.9</v>
      </c>
      <c r="N15" s="210">
        <v>2.7</v>
      </c>
      <c r="O15" s="274"/>
      <c r="P15" s="208">
        <v>2004</v>
      </c>
      <c r="Q15" s="209">
        <v>84.86</v>
      </c>
      <c r="R15" s="275">
        <f t="shared" si="0"/>
        <v>2.327263957554555E-2</v>
      </c>
      <c r="T15" s="208">
        <v>2004</v>
      </c>
      <c r="U15" s="209">
        <v>84.3</v>
      </c>
      <c r="V15" s="275">
        <f t="shared" si="1"/>
        <v>1.8115942028985508E-2</v>
      </c>
      <c r="X15" s="208">
        <v>2004</v>
      </c>
      <c r="Y15" s="209">
        <v>81.900000000000006</v>
      </c>
      <c r="Z15" s="275">
        <f t="shared" si="2"/>
        <v>2.2471910112359696E-2</v>
      </c>
      <c r="AB15" s="208">
        <v>2004</v>
      </c>
      <c r="AC15" s="209">
        <v>80.599999999999994</v>
      </c>
      <c r="AD15" s="275">
        <f t="shared" si="3"/>
        <v>3.0558752077739428E-2</v>
      </c>
      <c r="AF15" s="208">
        <v>2004</v>
      </c>
      <c r="AG15" s="209">
        <v>76.5</v>
      </c>
      <c r="AH15" s="275">
        <f t="shared" si="4"/>
        <v>1.3245033112582781E-2</v>
      </c>
      <c r="AJ15" s="208">
        <v>2004</v>
      </c>
      <c r="AK15" s="209">
        <v>84.32</v>
      </c>
      <c r="AL15" s="275">
        <f t="shared" si="5"/>
        <v>1.3949013949013909E-2</v>
      </c>
    </row>
    <row r="16" spans="1:38" ht="13.8" thickBot="1" x14ac:dyDescent="0.3">
      <c r="A16" s="3"/>
      <c r="C16" s="31">
        <v>2005</v>
      </c>
      <c r="D16" s="535">
        <v>82.85</v>
      </c>
      <c r="E16" s="274">
        <v>2.1704279195954999E-2</v>
      </c>
      <c r="F16" s="273"/>
      <c r="G16" s="281">
        <v>2023</v>
      </c>
      <c r="L16" s="211">
        <v>2005</v>
      </c>
      <c r="M16" s="222">
        <v>195.3</v>
      </c>
      <c r="N16" s="213">
        <v>3.4</v>
      </c>
      <c r="O16" s="274"/>
      <c r="P16" s="211">
        <v>2005</v>
      </c>
      <c r="Q16" s="283">
        <v>86.47</v>
      </c>
      <c r="R16" s="275">
        <f t="shared" si="0"/>
        <v>1.897242517086966E-2</v>
      </c>
      <c r="T16" s="211">
        <v>2005</v>
      </c>
      <c r="U16" s="284">
        <v>85.5</v>
      </c>
      <c r="V16" s="275">
        <f t="shared" si="1"/>
        <v>1.4234875444839892E-2</v>
      </c>
      <c r="X16" s="211">
        <v>2005</v>
      </c>
      <c r="Y16" s="284">
        <v>83.7</v>
      </c>
      <c r="Z16" s="275">
        <f t="shared" si="2"/>
        <v>2.1978021978021942E-2</v>
      </c>
      <c r="AB16" s="211">
        <v>2005</v>
      </c>
      <c r="AC16" s="283">
        <v>83.33</v>
      </c>
      <c r="AD16" s="275">
        <f t="shared" si="3"/>
        <v>3.3870967741935536E-2</v>
      </c>
      <c r="AF16" s="211">
        <v>2005</v>
      </c>
      <c r="AG16" s="284">
        <v>78.099999999999994</v>
      </c>
      <c r="AH16" s="275">
        <f t="shared" si="4"/>
        <v>2.0915032679738488E-2</v>
      </c>
      <c r="AJ16" s="211">
        <v>2005</v>
      </c>
      <c r="AK16" s="283">
        <v>85.57</v>
      </c>
      <c r="AL16" s="275">
        <f t="shared" si="5"/>
        <v>1.4824478178368123E-2</v>
      </c>
    </row>
    <row r="17" spans="1:38" ht="13.8" thickBot="1" x14ac:dyDescent="0.3">
      <c r="A17" s="3"/>
      <c r="C17" s="33">
        <v>2006</v>
      </c>
      <c r="D17" s="534">
        <v>84.67</v>
      </c>
      <c r="E17" s="275">
        <v>2.1967410983705582E-2</v>
      </c>
      <c r="F17" s="273"/>
      <c r="L17" s="208">
        <v>2006</v>
      </c>
      <c r="M17" s="221">
        <v>201.6</v>
      </c>
      <c r="N17" s="210">
        <v>3.2</v>
      </c>
      <c r="O17" s="274"/>
      <c r="P17" s="208">
        <v>2006</v>
      </c>
      <c r="Q17" s="283">
        <v>88.1</v>
      </c>
      <c r="R17" s="275">
        <f t="shared" si="0"/>
        <v>1.8850468370533082E-2</v>
      </c>
      <c r="T17" s="208">
        <v>2006</v>
      </c>
      <c r="U17" s="284">
        <v>87</v>
      </c>
      <c r="V17" s="275">
        <f t="shared" si="1"/>
        <v>1.7543859649122806E-2</v>
      </c>
      <c r="X17" s="208">
        <v>2006</v>
      </c>
      <c r="Y17" s="284">
        <v>85.6</v>
      </c>
      <c r="Z17" s="275">
        <f t="shared" si="2"/>
        <v>2.270011947431292E-2</v>
      </c>
      <c r="AB17" s="208">
        <v>2006</v>
      </c>
      <c r="AC17" s="283">
        <v>86.29</v>
      </c>
      <c r="AD17" s="275">
        <f t="shared" si="3"/>
        <v>3.5521420856834372E-2</v>
      </c>
      <c r="AF17" s="208">
        <v>2006</v>
      </c>
      <c r="AG17" s="284">
        <v>79.900000000000006</v>
      </c>
      <c r="AH17" s="275">
        <f t="shared" si="4"/>
        <v>2.3047375160051363E-2</v>
      </c>
      <c r="AJ17" s="208">
        <v>2006</v>
      </c>
      <c r="AK17" s="283">
        <v>86.99</v>
      </c>
      <c r="AL17" s="275">
        <f t="shared" si="5"/>
        <v>1.6594600911534439E-2</v>
      </c>
    </row>
    <row r="18" spans="1:38" ht="13.8" thickBot="1" x14ac:dyDescent="0.3">
      <c r="A18" s="3"/>
      <c r="C18" s="31">
        <v>2007</v>
      </c>
      <c r="D18" s="535">
        <v>86.65</v>
      </c>
      <c r="E18" s="274">
        <v>2.3384906106058864E-2</v>
      </c>
      <c r="F18" s="273"/>
      <c r="L18" s="211">
        <v>2007</v>
      </c>
      <c r="M18" s="222">
        <v>207.3</v>
      </c>
      <c r="N18" s="213">
        <v>2.8</v>
      </c>
      <c r="O18" s="274"/>
      <c r="P18" s="211">
        <v>2007</v>
      </c>
      <c r="Q18" s="283">
        <v>89.52</v>
      </c>
      <c r="R18" s="275">
        <f t="shared" si="0"/>
        <v>1.6118047673098771E-2</v>
      </c>
      <c r="T18" s="211">
        <v>2007</v>
      </c>
      <c r="U18" s="284">
        <v>89</v>
      </c>
      <c r="V18" s="275">
        <f t="shared" si="1"/>
        <v>2.2988505747126436E-2</v>
      </c>
      <c r="X18" s="211">
        <v>2007</v>
      </c>
      <c r="Y18" s="284">
        <v>87.3</v>
      </c>
      <c r="Z18" s="275">
        <f t="shared" si="2"/>
        <v>1.9859813084112183E-2</v>
      </c>
      <c r="AB18" s="211">
        <v>2007</v>
      </c>
      <c r="AC18" s="283">
        <v>88.75</v>
      </c>
      <c r="AD18" s="275">
        <f t="shared" si="3"/>
        <v>2.8508517788851474E-2</v>
      </c>
      <c r="AF18" s="211">
        <v>2007</v>
      </c>
      <c r="AG18" s="284">
        <v>81.8</v>
      </c>
      <c r="AH18" s="275">
        <f t="shared" si="4"/>
        <v>2.3779724655819668E-2</v>
      </c>
      <c r="AJ18" s="211">
        <v>2007</v>
      </c>
      <c r="AK18" s="283">
        <v>88.36</v>
      </c>
      <c r="AL18" s="275">
        <f t="shared" si="5"/>
        <v>1.574893665938619E-2</v>
      </c>
    </row>
    <row r="19" spans="1:38" ht="13.8" thickBot="1" x14ac:dyDescent="0.3">
      <c r="A19" s="3"/>
      <c r="C19" s="33">
        <v>2008</v>
      </c>
      <c r="D19" s="534">
        <v>89.72</v>
      </c>
      <c r="E19" s="275">
        <v>3.542989036353137E-2</v>
      </c>
      <c r="F19" s="273"/>
      <c r="L19" s="208">
        <v>2008</v>
      </c>
      <c r="M19" s="221">
        <v>215.303</v>
      </c>
      <c r="N19" s="210">
        <v>3.8</v>
      </c>
      <c r="O19" s="274"/>
      <c r="P19" s="208">
        <v>2008</v>
      </c>
      <c r="Q19" s="283">
        <v>92.34</v>
      </c>
      <c r="R19" s="275">
        <f t="shared" si="0"/>
        <v>3.150134048257381E-2</v>
      </c>
      <c r="T19" s="208">
        <v>2008</v>
      </c>
      <c r="U19" s="284">
        <v>91.4</v>
      </c>
      <c r="V19" s="275">
        <f t="shared" si="1"/>
        <v>2.6966292134831524E-2</v>
      </c>
      <c r="X19" s="208">
        <v>2008</v>
      </c>
      <c r="Y19" s="284">
        <v>90.4</v>
      </c>
      <c r="Z19" s="275">
        <f t="shared" si="2"/>
        <v>3.5509736540664472E-2</v>
      </c>
      <c r="AB19" s="208">
        <v>2008</v>
      </c>
      <c r="AC19" s="283">
        <v>92.41</v>
      </c>
      <c r="AD19" s="275">
        <f t="shared" si="3"/>
        <v>4.1239436619718274E-2</v>
      </c>
      <c r="AF19" s="208">
        <v>2008</v>
      </c>
      <c r="AG19" s="284">
        <v>84.7</v>
      </c>
      <c r="AH19" s="275">
        <f t="shared" si="4"/>
        <v>3.5452322738386381E-2</v>
      </c>
      <c r="AJ19" s="208">
        <v>2008</v>
      </c>
      <c r="AK19" s="283">
        <v>90.32</v>
      </c>
      <c r="AL19" s="275">
        <f t="shared" si="5"/>
        <v>2.2181982797645924E-2</v>
      </c>
    </row>
    <row r="20" spans="1:38" ht="13.8" thickBot="1" x14ac:dyDescent="0.3">
      <c r="A20" s="3"/>
      <c r="C20" s="31">
        <v>2009</v>
      </c>
      <c r="D20" s="535">
        <v>90.6</v>
      </c>
      <c r="E20" s="274">
        <v>9.8082924654480097E-3</v>
      </c>
      <c r="F20" s="273"/>
      <c r="L20" s="211">
        <v>2009</v>
      </c>
      <c r="M20" s="222">
        <v>214.53700000000001</v>
      </c>
      <c r="N20" s="213">
        <v>-0.4</v>
      </c>
      <c r="O20" s="274"/>
      <c r="P20" s="211">
        <v>2009</v>
      </c>
      <c r="Q20" s="283">
        <v>92.44</v>
      </c>
      <c r="R20" s="275">
        <f t="shared" si="0"/>
        <v>1.0829542993285068E-3</v>
      </c>
      <c r="T20" s="211">
        <v>2009</v>
      </c>
      <c r="U20" s="284">
        <v>91.6</v>
      </c>
      <c r="V20" s="275">
        <f t="shared" si="1"/>
        <v>2.1881838074397004E-3</v>
      </c>
      <c r="X20" s="211">
        <v>2009</v>
      </c>
      <c r="Y20" s="284">
        <v>91.1</v>
      </c>
      <c r="Z20" s="275">
        <f t="shared" si="2"/>
        <v>7.7433628318582812E-3</v>
      </c>
      <c r="AB20" s="211">
        <v>2009</v>
      </c>
      <c r="AC20" s="283">
        <v>92.19</v>
      </c>
      <c r="AD20" s="275">
        <f t="shared" si="3"/>
        <v>-2.3806947300075627E-3</v>
      </c>
      <c r="AF20" s="211">
        <v>2009</v>
      </c>
      <c r="AG20" s="284">
        <v>86.6</v>
      </c>
      <c r="AH20" s="275">
        <f t="shared" si="4"/>
        <v>2.2432113341204148E-2</v>
      </c>
      <c r="AJ20" s="211">
        <v>2009</v>
      </c>
      <c r="AK20" s="283">
        <v>91.2</v>
      </c>
      <c r="AL20" s="275">
        <f t="shared" si="5"/>
        <v>9.7431355181577702E-3</v>
      </c>
    </row>
    <row r="21" spans="1:38" ht="13.8" thickBot="1" x14ac:dyDescent="0.3">
      <c r="A21" s="3"/>
      <c r="C21" s="33">
        <v>2010</v>
      </c>
      <c r="D21" s="534">
        <v>92.49</v>
      </c>
      <c r="E21" s="275">
        <v>2.0860927152317889E-2</v>
      </c>
      <c r="F21" s="273"/>
      <c r="L21" s="208">
        <v>2010</v>
      </c>
      <c r="M21" s="221">
        <v>218.05600000000001</v>
      </c>
      <c r="N21" s="210">
        <v>1.6</v>
      </c>
      <c r="O21" s="274"/>
      <c r="P21" s="208">
        <v>2010</v>
      </c>
      <c r="Q21" s="283">
        <v>94.05</v>
      </c>
      <c r="R21" s="275">
        <f t="shared" si="0"/>
        <v>1.7416702726092595E-2</v>
      </c>
      <c r="T21" s="208">
        <v>2010</v>
      </c>
      <c r="U21" s="284">
        <v>92.7</v>
      </c>
      <c r="V21" s="275">
        <f t="shared" si="1"/>
        <v>1.2008733624454242E-2</v>
      </c>
      <c r="X21" s="208">
        <v>2010</v>
      </c>
      <c r="Y21" s="284">
        <v>92.6</v>
      </c>
      <c r="Z21" s="275">
        <f t="shared" si="2"/>
        <v>1.6465422612513721E-2</v>
      </c>
      <c r="AB21" s="208">
        <v>2010</v>
      </c>
      <c r="AC21" s="283">
        <v>94.08</v>
      </c>
      <c r="AD21" s="275">
        <f t="shared" si="3"/>
        <v>2.0501138952164016E-2</v>
      </c>
      <c r="AF21" s="208">
        <v>2010</v>
      </c>
      <c r="AG21" s="284">
        <v>89.4</v>
      </c>
      <c r="AH21" s="275">
        <f t="shared" si="4"/>
        <v>3.2332563510392744E-2</v>
      </c>
      <c r="AJ21" s="208">
        <v>2010</v>
      </c>
      <c r="AK21" s="283">
        <v>92.05</v>
      </c>
      <c r="AL21" s="275">
        <f t="shared" si="5"/>
        <v>9.3201754385964283E-3</v>
      </c>
    </row>
    <row r="22" spans="1:38" ht="13.8" thickBot="1" x14ac:dyDescent="0.3">
      <c r="A22" s="3"/>
      <c r="C22" s="31">
        <v>2011</v>
      </c>
      <c r="D22" s="535">
        <v>95.36</v>
      </c>
      <c r="E22" s="274">
        <v>3.1030381662882526E-2</v>
      </c>
      <c r="F22" s="273"/>
      <c r="L22" s="211">
        <v>2011</v>
      </c>
      <c r="M22" s="222">
        <v>224.93899999999999</v>
      </c>
      <c r="N22" s="213">
        <v>3.2</v>
      </c>
      <c r="O22" s="274"/>
      <c r="P22" s="211">
        <v>2011</v>
      </c>
      <c r="Q22" s="283">
        <v>96.2</v>
      </c>
      <c r="R22" s="275">
        <f t="shared" si="0"/>
        <v>2.2860180754917657E-2</v>
      </c>
      <c r="T22" s="211">
        <v>2011</v>
      </c>
      <c r="U22" s="284">
        <v>95</v>
      </c>
      <c r="V22" s="275">
        <f t="shared" si="1"/>
        <v>2.4811218985976238E-2</v>
      </c>
      <c r="X22" s="211">
        <v>2011</v>
      </c>
      <c r="Y22" s="284">
        <v>95.3</v>
      </c>
      <c r="Z22" s="275">
        <f t="shared" si="2"/>
        <v>2.9157667386609104E-2</v>
      </c>
      <c r="AB22" s="211">
        <v>2011</v>
      </c>
      <c r="AC22" s="283">
        <v>96.94</v>
      </c>
      <c r="AD22" s="275">
        <f t="shared" si="3"/>
        <v>3.0399659863945574E-2</v>
      </c>
      <c r="AF22" s="211">
        <v>2011</v>
      </c>
      <c r="AG22" s="284">
        <v>93.4</v>
      </c>
      <c r="AH22" s="275">
        <f t="shared" si="4"/>
        <v>4.4742729306487691E-2</v>
      </c>
      <c r="AJ22" s="211">
        <v>2011</v>
      </c>
      <c r="AK22" s="283">
        <v>94.32</v>
      </c>
      <c r="AL22" s="275">
        <f t="shared" si="5"/>
        <v>2.4660510592069484E-2</v>
      </c>
    </row>
    <row r="23" spans="1:38" ht="13.8" thickBot="1" x14ac:dyDescent="0.3">
      <c r="A23" s="3"/>
      <c r="C23" s="33">
        <v>2012</v>
      </c>
      <c r="D23" s="534">
        <v>97.88</v>
      </c>
      <c r="E23" s="275">
        <v>2.6426174496644254E-2</v>
      </c>
      <c r="F23" s="273"/>
      <c r="L23" s="208">
        <v>2012</v>
      </c>
      <c r="M23" s="221">
        <v>229.59399999999999</v>
      </c>
      <c r="N23" s="210">
        <v>2.1</v>
      </c>
      <c r="O23" s="274"/>
      <c r="P23" s="208">
        <v>2012</v>
      </c>
      <c r="Q23" s="283">
        <v>98.33</v>
      </c>
      <c r="R23" s="275">
        <f t="shared" si="0"/>
        <v>2.2141372141372094E-2</v>
      </c>
      <c r="T23" s="208">
        <v>2012</v>
      </c>
      <c r="U23" s="284">
        <v>97</v>
      </c>
      <c r="V23" s="275">
        <f t="shared" si="1"/>
        <v>2.1052631578947368E-2</v>
      </c>
      <c r="X23" s="208">
        <v>2012</v>
      </c>
      <c r="Y23" s="284">
        <v>98.4</v>
      </c>
      <c r="Z23" s="275">
        <f t="shared" si="2"/>
        <v>3.2528856243441852E-2</v>
      </c>
      <c r="AB23" s="208">
        <v>2012</v>
      </c>
      <c r="AC23" s="283">
        <v>99.31</v>
      </c>
      <c r="AD23" s="275">
        <f t="shared" si="3"/>
        <v>2.4448112234371825E-2</v>
      </c>
      <c r="AF23" s="208">
        <v>2012</v>
      </c>
      <c r="AG23" s="284">
        <v>96.1</v>
      </c>
      <c r="AH23" s="275">
        <f t="shared" si="4"/>
        <v>2.8907922912205446E-2</v>
      </c>
      <c r="AJ23" s="208">
        <v>2012</v>
      </c>
      <c r="AK23" s="283">
        <v>96.99</v>
      </c>
      <c r="AL23" s="275">
        <f t="shared" si="5"/>
        <v>2.8307888040712489E-2</v>
      </c>
    </row>
    <row r="24" spans="1:38" ht="13.8" thickBot="1" x14ac:dyDescent="0.3">
      <c r="A24" s="3"/>
      <c r="C24" s="31">
        <v>2013</v>
      </c>
      <c r="D24" s="535">
        <v>99.35</v>
      </c>
      <c r="E24" s="274">
        <v>1.5018389865140978E-2</v>
      </c>
      <c r="F24" s="273"/>
      <c r="L24" s="211">
        <v>2013</v>
      </c>
      <c r="M24" s="222">
        <v>232.95699999999999</v>
      </c>
      <c r="N24" s="213">
        <v>1.5</v>
      </c>
      <c r="O24" s="274"/>
      <c r="P24" s="211">
        <v>2013</v>
      </c>
      <c r="Q24" s="283">
        <v>99.31</v>
      </c>
      <c r="R24" s="275">
        <f t="shared" si="0"/>
        <v>9.9664395403234411E-3</v>
      </c>
      <c r="T24" s="211">
        <v>2013</v>
      </c>
      <c r="U24" s="284">
        <v>98.6</v>
      </c>
      <c r="V24" s="275">
        <f t="shared" si="1"/>
        <v>1.6494845360824684E-2</v>
      </c>
      <c r="X24" s="211">
        <v>2013</v>
      </c>
      <c r="Y24" s="284">
        <v>99.7</v>
      </c>
      <c r="Z24" s="275">
        <f t="shared" si="2"/>
        <v>1.3211382113821108E-2</v>
      </c>
      <c r="AB24" s="211">
        <v>2013</v>
      </c>
      <c r="AC24" s="283">
        <v>100.83</v>
      </c>
      <c r="AD24" s="275">
        <f t="shared" si="3"/>
        <v>1.5305608700030168E-2</v>
      </c>
      <c r="AF24" s="211">
        <v>2013</v>
      </c>
      <c r="AG24" s="284">
        <v>98.5</v>
      </c>
      <c r="AH24" s="275">
        <f t="shared" si="4"/>
        <v>2.4973985431841893E-2</v>
      </c>
      <c r="AJ24" s="211">
        <v>2013</v>
      </c>
      <c r="AK24" s="283">
        <v>99.47</v>
      </c>
      <c r="AL24" s="275">
        <f t="shared" si="5"/>
        <v>2.5569646355294403E-2</v>
      </c>
    </row>
    <row r="25" spans="1:38" ht="13.8" thickBot="1" x14ac:dyDescent="0.3">
      <c r="A25" s="3"/>
      <c r="C25" s="33">
        <v>2014</v>
      </c>
      <c r="D25" s="534">
        <v>99.9</v>
      </c>
      <c r="E25" s="275">
        <v>5.535983895319692E-3</v>
      </c>
      <c r="F25" s="273"/>
      <c r="L25" s="208">
        <v>2014</v>
      </c>
      <c r="M25" s="221">
        <v>236.73599999999999</v>
      </c>
      <c r="N25" s="210">
        <v>1.6</v>
      </c>
      <c r="O25" s="274"/>
      <c r="P25" s="208">
        <v>2014</v>
      </c>
      <c r="Q25" s="283">
        <v>99.91</v>
      </c>
      <c r="R25" s="275">
        <f t="shared" si="0"/>
        <v>6.0416876447487089E-3</v>
      </c>
      <c r="T25" s="208">
        <v>2014</v>
      </c>
      <c r="U25" s="284">
        <v>99.3</v>
      </c>
      <c r="V25" s="275">
        <f t="shared" si="1"/>
        <v>7.0993914807302525E-3</v>
      </c>
      <c r="X25" s="208">
        <v>2014</v>
      </c>
      <c r="Y25" s="284">
        <v>99.9</v>
      </c>
      <c r="Z25" s="275">
        <f t="shared" si="2"/>
        <v>2.0060180541625161E-3</v>
      </c>
      <c r="AB25" s="208">
        <v>2014</v>
      </c>
      <c r="AC25" s="283">
        <v>100.63</v>
      </c>
      <c r="AD25" s="275">
        <f t="shared" si="3"/>
        <v>-1.9835366458395599E-3</v>
      </c>
      <c r="AF25" s="208">
        <v>2014</v>
      </c>
      <c r="AG25" s="284">
        <v>100</v>
      </c>
      <c r="AH25" s="275">
        <f t="shared" si="4"/>
        <v>1.5228426395939087E-2</v>
      </c>
      <c r="AJ25" s="208">
        <v>2014</v>
      </c>
      <c r="AK25" s="283">
        <v>99.79</v>
      </c>
      <c r="AL25" s="275">
        <f t="shared" si="5"/>
        <v>3.217050366944882E-3</v>
      </c>
    </row>
    <row r="26" spans="1:38" ht="13.8" thickBot="1" x14ac:dyDescent="0.3">
      <c r="A26" s="3"/>
      <c r="C26" s="185">
        <v>2015</v>
      </c>
      <c r="D26" s="536">
        <v>100</v>
      </c>
      <c r="E26" s="276">
        <v>1.001001001000944E-3</v>
      </c>
      <c r="F26" s="273"/>
      <c r="L26" s="211">
        <v>2015</v>
      </c>
      <c r="M26" s="222">
        <v>237.017</v>
      </c>
      <c r="N26" s="213">
        <v>0.1</v>
      </c>
      <c r="O26" s="274"/>
      <c r="P26" s="211">
        <v>2015</v>
      </c>
      <c r="Q26" s="283">
        <v>100</v>
      </c>
      <c r="R26" s="275">
        <f t="shared" si="0"/>
        <v>9.0081072965672517E-4</v>
      </c>
      <c r="T26" s="211">
        <v>2015</v>
      </c>
      <c r="U26" s="284">
        <v>100</v>
      </c>
      <c r="V26" s="275">
        <f t="shared" si="1"/>
        <v>7.049345417925507E-3</v>
      </c>
      <c r="X26" s="211">
        <v>2015</v>
      </c>
      <c r="Y26" s="284">
        <v>100</v>
      </c>
      <c r="Z26" s="275">
        <f t="shared" si="2"/>
        <v>1.001001001000944E-3</v>
      </c>
      <c r="AB26" s="211">
        <v>2015</v>
      </c>
      <c r="AC26" s="283">
        <v>100</v>
      </c>
      <c r="AD26" s="275">
        <f t="shared" si="3"/>
        <v>-6.2605584815660885E-3</v>
      </c>
      <c r="AF26" s="211">
        <v>2015</v>
      </c>
      <c r="AG26" s="284">
        <v>100</v>
      </c>
      <c r="AH26" s="275">
        <f t="shared" si="4"/>
        <v>0</v>
      </c>
      <c r="AJ26" s="211">
        <v>2015</v>
      </c>
      <c r="AK26" s="283">
        <v>100</v>
      </c>
      <c r="AL26" s="275">
        <f t="shared" si="5"/>
        <v>2.1044192804889643E-3</v>
      </c>
    </row>
    <row r="27" spans="1:38" ht="13.8" thickBot="1" x14ac:dyDescent="0.3">
      <c r="A27" s="3"/>
      <c r="C27" s="33">
        <v>2016</v>
      </c>
      <c r="D27" s="534">
        <v>100.25</v>
      </c>
      <c r="E27" s="275">
        <v>2.5000000000000001E-3</v>
      </c>
      <c r="F27" s="273"/>
      <c r="H27" s="11"/>
      <c r="L27" s="208">
        <v>2016</v>
      </c>
      <c r="M27" s="221">
        <v>240.00700000000001</v>
      </c>
      <c r="N27" s="210">
        <v>1.3</v>
      </c>
      <c r="O27" s="274"/>
      <c r="P27" s="208">
        <v>2016</v>
      </c>
      <c r="Q27" s="283">
        <v>100.31</v>
      </c>
      <c r="R27" s="275">
        <f t="shared" si="0"/>
        <v>3.1000000000000229E-3</v>
      </c>
      <c r="T27" s="208">
        <v>2016</v>
      </c>
      <c r="U27" s="284">
        <v>100.4</v>
      </c>
      <c r="V27" s="275">
        <f t="shared" si="1"/>
        <v>4.0000000000000565E-3</v>
      </c>
      <c r="X27" s="208">
        <v>2016</v>
      </c>
      <c r="Y27" s="284">
        <v>99.9</v>
      </c>
      <c r="Z27" s="275">
        <f t="shared" si="2"/>
        <v>-9.9999999999994321E-4</v>
      </c>
      <c r="AB27" s="208">
        <v>2016</v>
      </c>
      <c r="AC27" s="283">
        <v>99.66</v>
      </c>
      <c r="AD27" s="275">
        <f t="shared" si="3"/>
        <v>-3.4000000000000341E-3</v>
      </c>
      <c r="AF27" s="208">
        <v>2016</v>
      </c>
      <c r="AG27" s="284">
        <v>100.7</v>
      </c>
      <c r="AH27" s="275">
        <f t="shared" si="4"/>
        <v>7.0000000000000288E-3</v>
      </c>
      <c r="AJ27" s="208">
        <v>2016</v>
      </c>
      <c r="AK27" s="283">
        <v>100.11</v>
      </c>
      <c r="AL27" s="275">
        <f t="shared" si="5"/>
        <v>1.0999999999999942E-3</v>
      </c>
    </row>
    <row r="28" spans="1:38" ht="13.8" thickBot="1" x14ac:dyDescent="0.3">
      <c r="C28" s="31">
        <v>2017</v>
      </c>
      <c r="D28" s="535">
        <v>101.96</v>
      </c>
      <c r="E28" s="274">
        <v>1.7057356608478742E-2</v>
      </c>
      <c r="F28" s="273"/>
      <c r="L28" s="211">
        <v>2017</v>
      </c>
      <c r="M28" s="212">
        <v>245.12</v>
      </c>
      <c r="N28" s="213">
        <v>2.1</v>
      </c>
      <c r="O28" s="274"/>
      <c r="P28" s="211">
        <v>2017</v>
      </c>
      <c r="Q28" s="283">
        <v>101.47</v>
      </c>
      <c r="R28" s="275">
        <f t="shared" si="0"/>
        <v>1.156415113149234E-2</v>
      </c>
      <c r="T28" s="211">
        <v>2017</v>
      </c>
      <c r="U28" s="284">
        <v>102.1</v>
      </c>
      <c r="V28" s="275">
        <f t="shared" si="1"/>
        <v>1.6932270916334546E-2</v>
      </c>
      <c r="X28" s="211">
        <v>2017</v>
      </c>
      <c r="Y28" s="284">
        <v>101.3</v>
      </c>
      <c r="Z28" s="275">
        <f t="shared" si="2"/>
        <v>1.4014014014013927E-2</v>
      </c>
      <c r="AB28" s="211">
        <v>2017</v>
      </c>
      <c r="AC28" s="283">
        <v>101.69</v>
      </c>
      <c r="AD28" s="275">
        <f t="shared" si="3"/>
        <v>2.0369255468593229E-2</v>
      </c>
      <c r="AF28" s="211">
        <v>2017</v>
      </c>
      <c r="AG28" s="284">
        <v>103.4</v>
      </c>
      <c r="AH28" s="275">
        <f t="shared" si="4"/>
        <v>2.6812313803376394E-2</v>
      </c>
      <c r="AJ28" s="211">
        <v>2017</v>
      </c>
      <c r="AK28" s="283">
        <v>101.4</v>
      </c>
      <c r="AL28" s="275">
        <f t="shared" si="5"/>
        <v>1.2885825591849028E-2</v>
      </c>
    </row>
    <row r="29" spans="1:38" ht="13.8" thickBot="1" x14ac:dyDescent="0.3">
      <c r="A29" s="3"/>
      <c r="C29" s="33">
        <v>2018</v>
      </c>
      <c r="D29" s="534">
        <v>103.89</v>
      </c>
      <c r="E29" s="275">
        <v>1.8928991761475156E-2</v>
      </c>
      <c r="F29" s="273"/>
      <c r="L29" s="208">
        <v>2018</v>
      </c>
      <c r="M29" s="209">
        <v>251.107</v>
      </c>
      <c r="N29" s="210">
        <v>2.4</v>
      </c>
      <c r="O29" s="274"/>
      <c r="P29" s="208">
        <v>2018</v>
      </c>
      <c r="Q29" s="283">
        <v>103.6</v>
      </c>
      <c r="R29" s="275">
        <f t="shared" si="0"/>
        <v>2.0991426037252344E-2</v>
      </c>
      <c r="T29" s="208">
        <v>2018</v>
      </c>
      <c r="U29" s="284">
        <v>104</v>
      </c>
      <c r="V29" s="275">
        <f t="shared" si="1"/>
        <v>1.8609206660137177E-2</v>
      </c>
      <c r="X29" s="208">
        <v>2018</v>
      </c>
      <c r="Y29" s="284">
        <v>102.5</v>
      </c>
      <c r="Z29" s="275">
        <f t="shared" si="2"/>
        <v>1.184600197433369E-2</v>
      </c>
      <c r="AB29" s="208">
        <v>2018</v>
      </c>
      <c r="AC29" s="283">
        <v>103.46</v>
      </c>
      <c r="AD29" s="275">
        <f t="shared" si="3"/>
        <v>1.7405841282328607E-2</v>
      </c>
      <c r="AF29" s="208">
        <v>2018</v>
      </c>
      <c r="AG29" s="284">
        <v>105.9</v>
      </c>
      <c r="AH29" s="275">
        <f t="shared" si="4"/>
        <v>2.4177949709864602E-2</v>
      </c>
      <c r="AJ29" s="208">
        <v>2018</v>
      </c>
      <c r="AK29" s="283">
        <v>103.02</v>
      </c>
      <c r="AL29" s="275">
        <f t="shared" si="5"/>
        <v>1.5976331360946651E-2</v>
      </c>
    </row>
    <row r="30" spans="1:38" ht="13.8" thickBot="1" x14ac:dyDescent="0.3">
      <c r="A30" s="3"/>
      <c r="C30" s="31">
        <v>2019</v>
      </c>
      <c r="D30" s="535">
        <v>105.42</v>
      </c>
      <c r="E30" s="274">
        <v>1.4727115218019069E-2</v>
      </c>
      <c r="F30" s="273"/>
      <c r="L30" s="217">
        <v>2019</v>
      </c>
      <c r="M30" s="218">
        <v>255.65700000000001</v>
      </c>
      <c r="N30" s="219">
        <v>1.8</v>
      </c>
      <c r="O30" s="274"/>
      <c r="P30" s="217">
        <v>2019</v>
      </c>
      <c r="Q30" s="283">
        <v>104.95</v>
      </c>
      <c r="R30" s="275">
        <f t="shared" si="0"/>
        <v>1.3030888030888114E-2</v>
      </c>
      <c r="T30" s="217">
        <v>2019</v>
      </c>
      <c r="U30" s="284">
        <v>105.5</v>
      </c>
      <c r="V30" s="275">
        <f t="shared" si="1"/>
        <v>1.4423076923076924E-2</v>
      </c>
      <c r="X30" s="217">
        <v>2019</v>
      </c>
      <c r="Y30" s="284">
        <v>103.2</v>
      </c>
      <c r="Z30" s="275">
        <f t="shared" si="2"/>
        <v>6.8292682926829546E-3</v>
      </c>
      <c r="AB30" s="217">
        <v>2019</v>
      </c>
      <c r="AC30" s="283">
        <v>104.26</v>
      </c>
      <c r="AD30" s="275">
        <f t="shared" si="3"/>
        <v>7.7324569882081138E-3</v>
      </c>
      <c r="AF30" s="217">
        <v>2019</v>
      </c>
      <c r="AG30" s="284">
        <v>107.8</v>
      </c>
      <c r="AH30" s="275">
        <f t="shared" si="4"/>
        <v>1.794145420207735E-2</v>
      </c>
      <c r="AJ30" s="217">
        <v>2019</v>
      </c>
      <c r="AK30" s="283">
        <v>105.78</v>
      </c>
      <c r="AL30" s="275">
        <f t="shared" si="5"/>
        <v>2.6790914385556253E-2</v>
      </c>
    </row>
    <row r="31" spans="1:38" ht="13.8" thickBot="1" x14ac:dyDescent="0.25">
      <c r="A31" s="3"/>
      <c r="C31" s="33">
        <v>2020</v>
      </c>
      <c r="D31" s="34">
        <v>105.8</v>
      </c>
      <c r="E31" s="275">
        <v>3.6046291026370276E-3</v>
      </c>
      <c r="L31" s="649">
        <v>2020</v>
      </c>
      <c r="M31" s="650">
        <v>258.8</v>
      </c>
      <c r="N31" s="651">
        <v>1.2</v>
      </c>
      <c r="P31" s="208">
        <v>2020</v>
      </c>
      <c r="Q31" s="209"/>
      <c r="R31" s="210"/>
      <c r="T31" s="208">
        <v>2020</v>
      </c>
      <c r="U31" s="209"/>
      <c r="V31" s="210"/>
      <c r="X31" s="208">
        <v>2020</v>
      </c>
      <c r="Y31" s="209"/>
      <c r="Z31" s="210"/>
      <c r="AB31" s="208">
        <v>2020</v>
      </c>
      <c r="AC31" s="209"/>
      <c r="AD31" s="210"/>
      <c r="AF31" s="208">
        <v>2020</v>
      </c>
      <c r="AG31" s="209"/>
      <c r="AH31" s="210"/>
      <c r="AJ31" s="208">
        <v>2020</v>
      </c>
      <c r="AK31" s="209"/>
      <c r="AL31" s="210"/>
    </row>
    <row r="32" spans="1:38" ht="13.8" thickBot="1" x14ac:dyDescent="0.25">
      <c r="A32" s="3"/>
      <c r="C32" s="31">
        <v>2021</v>
      </c>
      <c r="D32" s="32">
        <v>108.8</v>
      </c>
      <c r="E32" s="274">
        <v>2.835538752362949E-2</v>
      </c>
      <c r="L32" s="643">
        <v>2021</v>
      </c>
      <c r="M32" s="644">
        <v>271</v>
      </c>
      <c r="N32" s="645">
        <v>4.7</v>
      </c>
      <c r="P32" s="217">
        <v>2021</v>
      </c>
      <c r="Q32" s="218"/>
      <c r="R32" s="219"/>
      <c r="T32" s="217">
        <v>2021</v>
      </c>
      <c r="U32" s="218"/>
      <c r="V32" s="219"/>
      <c r="X32" s="217">
        <v>2021</v>
      </c>
      <c r="Y32" s="218"/>
      <c r="Z32" s="219"/>
      <c r="AB32" s="217">
        <v>2021</v>
      </c>
      <c r="AC32" s="218"/>
      <c r="AD32" s="219"/>
      <c r="AF32" s="217">
        <v>2021</v>
      </c>
      <c r="AG32" s="218"/>
      <c r="AH32" s="219"/>
      <c r="AJ32" s="217">
        <v>2021</v>
      </c>
      <c r="AK32" s="218"/>
      <c r="AL32" s="219"/>
    </row>
    <row r="33" spans="1:38" ht="13.8" thickBot="1" x14ac:dyDescent="0.25">
      <c r="A33" s="3"/>
      <c r="C33" s="33">
        <v>2022</v>
      </c>
      <c r="D33" s="34">
        <v>118.8</v>
      </c>
      <c r="E33" s="275">
        <v>9.1911764705882359E-2</v>
      </c>
      <c r="L33" s="646">
        <v>2022</v>
      </c>
      <c r="M33" s="647">
        <v>292.65499999999997</v>
      </c>
      <c r="N33" s="648">
        <v>8</v>
      </c>
      <c r="P33" s="214">
        <v>2022</v>
      </c>
      <c r="Q33" s="215"/>
      <c r="R33" s="216"/>
      <c r="T33" s="214">
        <v>2022</v>
      </c>
      <c r="U33" s="215"/>
      <c r="V33" s="216"/>
      <c r="X33" s="214">
        <v>2022</v>
      </c>
      <c r="Y33" s="215"/>
      <c r="Z33" s="216"/>
      <c r="AB33" s="214">
        <v>2022</v>
      </c>
      <c r="AC33" s="215"/>
      <c r="AD33" s="216"/>
      <c r="AF33" s="214">
        <v>2022</v>
      </c>
      <c r="AG33" s="215"/>
      <c r="AH33" s="216"/>
      <c r="AJ33" s="214">
        <v>2022</v>
      </c>
      <c r="AK33" s="215"/>
      <c r="AL33" s="216"/>
    </row>
    <row r="34" spans="1:38" ht="13.8" thickBot="1" x14ac:dyDescent="0.25">
      <c r="A34" s="3"/>
      <c r="C34" s="640">
        <v>2023</v>
      </c>
      <c r="D34" s="641">
        <v>126.38</v>
      </c>
      <c r="E34" s="642">
        <v>6.3804713804713795E-2</v>
      </c>
      <c r="L34" s="643">
        <v>2023</v>
      </c>
      <c r="M34" s="644">
        <v>304.74599999999998</v>
      </c>
      <c r="N34" s="645">
        <v>4.0999999999999996</v>
      </c>
      <c r="P34" s="537"/>
      <c r="Q34" s="537"/>
      <c r="R34" s="537"/>
      <c r="T34" s="537"/>
      <c r="U34" s="537"/>
      <c r="V34" s="537"/>
      <c r="X34" s="537"/>
      <c r="Y34" s="537"/>
      <c r="Z34" s="537"/>
      <c r="AB34" s="537"/>
      <c r="AC34" s="537"/>
      <c r="AD34" s="537"/>
      <c r="AF34" s="537"/>
      <c r="AG34" s="537"/>
      <c r="AH34" s="537"/>
      <c r="AJ34" s="537"/>
      <c r="AK34" s="537"/>
      <c r="AL34" s="537"/>
    </row>
    <row r="35" spans="1:38" ht="13.8" thickBot="1" x14ac:dyDescent="0.25">
      <c r="C35" s="640">
        <v>2024</v>
      </c>
      <c r="D35" s="641">
        <v>129.66999999999999</v>
      </c>
      <c r="E35" s="642">
        <v>2.6032600094951671E-2</v>
      </c>
      <c r="L35" s="646">
        <v>2024</v>
      </c>
      <c r="M35" s="647">
        <v>313.68900000000002</v>
      </c>
      <c r="N35" s="648">
        <v>2.9</v>
      </c>
    </row>
    <row r="36" spans="1:38" ht="13.8" thickBot="1" x14ac:dyDescent="0.25">
      <c r="C36" s="640">
        <v>2025</v>
      </c>
      <c r="D36" s="641">
        <v>132.86000000000001</v>
      </c>
      <c r="E36" s="642">
        <v>2.4600910002313771E-2</v>
      </c>
      <c r="L36" s="643">
        <v>2025</v>
      </c>
      <c r="M36" s="644">
        <v>321.94299999999998</v>
      </c>
      <c r="N36" s="645">
        <v>2.6</v>
      </c>
    </row>
    <row r="37" spans="1:38" ht="13.2" x14ac:dyDescent="0.2">
      <c r="C37" s="639"/>
      <c r="E37" s="538"/>
    </row>
    <row r="38" spans="1:38" ht="13.2" x14ac:dyDescent="0.2">
      <c r="C38" s="639"/>
      <c r="E38" s="538"/>
    </row>
    <row r="39" spans="1:38" ht="13.2" x14ac:dyDescent="0.2">
      <c r="C39" s="639"/>
      <c r="E39" s="538"/>
    </row>
    <row r="40" spans="1:38" ht="13.2" x14ac:dyDescent="0.2">
      <c r="C40" s="639"/>
      <c r="E40" s="538"/>
    </row>
    <row r="41" spans="1:38" ht="13.2" x14ac:dyDescent="0.2">
      <c r="C41" s="639"/>
      <c r="E41" s="538"/>
    </row>
    <row r="42" spans="1:38" ht="13.2" x14ac:dyDescent="0.2">
      <c r="C42" s="639"/>
      <c r="E42" s="538"/>
    </row>
    <row r="43" spans="1:38" ht="13.2" x14ac:dyDescent="0.2">
      <c r="C43" s="639"/>
      <c r="E43" s="538"/>
    </row>
    <row r="44" spans="1:38" ht="13.2" x14ac:dyDescent="0.2">
      <c r="C44" s="639"/>
      <c r="E44" s="538"/>
    </row>
    <row r="45" spans="1:38" x14ac:dyDescent="0.2">
      <c r="C45" s="7" t="s">
        <v>0</v>
      </c>
      <c r="D45" s="8">
        <f>D30</f>
        <v>105.42</v>
      </c>
      <c r="E45" s="8" t="s">
        <v>102</v>
      </c>
      <c r="F45" s="8"/>
      <c r="L45" s="7" t="s">
        <v>0</v>
      </c>
      <c r="M45" s="8">
        <f>M30</f>
        <v>255.65700000000001</v>
      </c>
      <c r="N45" s="223" t="s">
        <v>665</v>
      </c>
      <c r="P45" s="7" t="s">
        <v>0</v>
      </c>
      <c r="Q45" s="8">
        <f>Q30</f>
        <v>104.95</v>
      </c>
      <c r="R45" s="223" t="s">
        <v>664</v>
      </c>
      <c r="T45" s="7" t="s">
        <v>0</v>
      </c>
      <c r="U45" s="8">
        <f>U30</f>
        <v>105.5</v>
      </c>
      <c r="V45" s="223" t="s">
        <v>666</v>
      </c>
      <c r="X45" s="7" t="s">
        <v>0</v>
      </c>
      <c r="Y45" s="8">
        <f>Y30</f>
        <v>103.2</v>
      </c>
      <c r="Z45" s="223" t="s">
        <v>667</v>
      </c>
      <c r="AB45" s="7" t="s">
        <v>0</v>
      </c>
      <c r="AC45" s="8">
        <f>AC30</f>
        <v>104.26</v>
      </c>
      <c r="AD45" s="223" t="s">
        <v>668</v>
      </c>
      <c r="AF45" s="7" t="s">
        <v>0</v>
      </c>
      <c r="AG45" s="8">
        <f>AG30</f>
        <v>107.8</v>
      </c>
      <c r="AH45" s="223" t="s">
        <v>669</v>
      </c>
      <c r="AJ45" s="7" t="s">
        <v>0</v>
      </c>
      <c r="AK45" s="8">
        <f>AK30</f>
        <v>105.78</v>
      </c>
      <c r="AL45" s="223" t="s">
        <v>670</v>
      </c>
    </row>
    <row r="47" spans="1:38" x14ac:dyDescent="0.2">
      <c r="C47" s="7" t="s">
        <v>121</v>
      </c>
      <c r="D47" s="9">
        <f t="shared" ref="D47:D70" si="6">index/D7</f>
        <v>1.4987205004264998</v>
      </c>
      <c r="E47" s="9" t="s">
        <v>173</v>
      </c>
      <c r="L47" s="7" t="s">
        <v>121</v>
      </c>
      <c r="M47" s="9">
        <f t="shared" ref="M47:M70" si="7">indexUS/M7</f>
        <v>1.6294263862332696</v>
      </c>
      <c r="N47" s="87" t="s">
        <v>641</v>
      </c>
      <c r="P47" s="7" t="s">
        <v>121</v>
      </c>
      <c r="Q47" s="9">
        <f t="shared" ref="Q47:Q70" si="8">indexFR/Q7</f>
        <v>1.4006405978913652</v>
      </c>
      <c r="R47" s="87" t="s">
        <v>434</v>
      </c>
      <c r="T47" s="7" t="s">
        <v>121</v>
      </c>
      <c r="U47" s="9">
        <f t="shared" ref="U47:U70" si="9">indexDE/U7</f>
        <v>1.3845144356955381</v>
      </c>
      <c r="V47" s="87" t="s">
        <v>435</v>
      </c>
      <c r="X47" s="7" t="s">
        <v>121</v>
      </c>
      <c r="Y47" s="9">
        <f t="shared" ref="Y47:Y70" si="10">indexIT/Y7</f>
        <v>1.5065693430656935</v>
      </c>
      <c r="Z47" s="87" t="s">
        <v>436</v>
      </c>
      <c r="AB47" s="7" t="s">
        <v>121</v>
      </c>
      <c r="AC47" s="9">
        <f t="shared" ref="AC47:AC70" si="11">indexSP/AC7</f>
        <v>1.6057292468812567</v>
      </c>
      <c r="AD47" s="87" t="s">
        <v>437</v>
      </c>
      <c r="AF47" s="7" t="s">
        <v>121</v>
      </c>
      <c r="AG47" s="9">
        <f t="shared" ref="AG47:AG70" si="12">indexUK/AG7</f>
        <v>1.5668604651162792</v>
      </c>
      <c r="AH47" s="87" t="s">
        <v>438</v>
      </c>
      <c r="AJ47" s="7" t="s">
        <v>121</v>
      </c>
      <c r="AK47" s="9">
        <f t="shared" ref="AK47:AK70" si="13">indexNL/AK7</f>
        <v>1.5368298706959176</v>
      </c>
      <c r="AL47" s="87" t="s">
        <v>439</v>
      </c>
    </row>
    <row r="48" spans="1:38" x14ac:dyDescent="0.2">
      <c r="C48" s="7" t="s">
        <v>122</v>
      </c>
      <c r="D48" s="9">
        <f t="shared" si="6"/>
        <v>1.4731693683622136</v>
      </c>
      <c r="E48" s="9" t="s">
        <v>174</v>
      </c>
      <c r="L48" s="7" t="s">
        <v>122</v>
      </c>
      <c r="M48" s="9">
        <f t="shared" si="7"/>
        <v>1.5928785046728973</v>
      </c>
      <c r="N48" s="87" t="s">
        <v>642</v>
      </c>
      <c r="P48" s="7" t="s">
        <v>122</v>
      </c>
      <c r="Q48" s="9">
        <f t="shared" si="8"/>
        <v>1.3831049024775963</v>
      </c>
      <c r="R48" s="87" t="s">
        <v>440</v>
      </c>
      <c r="T48" s="7" t="s">
        <v>122</v>
      </c>
      <c r="U48" s="9">
        <f t="shared" si="9"/>
        <v>1.3648124191461837</v>
      </c>
      <c r="V48" s="87" t="s">
        <v>458</v>
      </c>
      <c r="X48" s="7" t="s">
        <v>122</v>
      </c>
      <c r="Y48" s="9">
        <f t="shared" si="10"/>
        <v>1.4785100286532953</v>
      </c>
      <c r="Z48" s="87" t="s">
        <v>476</v>
      </c>
      <c r="AB48" s="7" t="s">
        <v>122</v>
      </c>
      <c r="AC48" s="9">
        <f t="shared" si="11"/>
        <v>1.5761148904006046</v>
      </c>
      <c r="AD48" s="87" t="s">
        <v>494</v>
      </c>
      <c r="AF48" s="7" t="s">
        <v>122</v>
      </c>
      <c r="AG48" s="9">
        <f t="shared" si="12"/>
        <v>1.5378031383737518</v>
      </c>
      <c r="AH48" s="87" t="s">
        <v>512</v>
      </c>
      <c r="AJ48" s="7" t="s">
        <v>122</v>
      </c>
      <c r="AK48" s="9">
        <f t="shared" si="13"/>
        <v>1.5087719298245614</v>
      </c>
      <c r="AL48" s="87" t="s">
        <v>530</v>
      </c>
    </row>
    <row r="49" spans="3:38" x14ac:dyDescent="0.2">
      <c r="C49" s="7" t="s">
        <v>123</v>
      </c>
      <c r="D49" s="9">
        <f t="shared" si="6"/>
        <v>1.4544701986754967</v>
      </c>
      <c r="E49" s="9" t="s">
        <v>169</v>
      </c>
      <c r="L49" s="7" t="s">
        <v>123</v>
      </c>
      <c r="M49" s="9">
        <f t="shared" si="7"/>
        <v>1.5684478527607362</v>
      </c>
      <c r="N49" s="87" t="s">
        <v>643</v>
      </c>
      <c r="P49" s="7" t="s">
        <v>123</v>
      </c>
      <c r="Q49" s="9">
        <f t="shared" si="8"/>
        <v>1.3736910994764397</v>
      </c>
      <c r="R49" s="87" t="s">
        <v>441</v>
      </c>
      <c r="T49" s="7" t="s">
        <v>123</v>
      </c>
      <c r="U49" s="9">
        <f t="shared" si="9"/>
        <v>1.3560411311053986</v>
      </c>
      <c r="V49" s="87" t="s">
        <v>459</v>
      </c>
      <c r="X49" s="7" t="s">
        <v>123</v>
      </c>
      <c r="Y49" s="9">
        <f t="shared" si="10"/>
        <v>1.449438202247191</v>
      </c>
      <c r="Z49" s="87" t="s">
        <v>477</v>
      </c>
      <c r="AB49" s="7" t="s">
        <v>123</v>
      </c>
      <c r="AC49" s="9">
        <f t="shared" si="11"/>
        <v>1.5489526073391771</v>
      </c>
      <c r="AD49" s="87" t="s">
        <v>495</v>
      </c>
      <c r="AF49" s="7" t="s">
        <v>123</v>
      </c>
      <c r="AG49" s="9">
        <f t="shared" si="12"/>
        <v>1.5140449438202246</v>
      </c>
      <c r="AH49" s="87" t="s">
        <v>513</v>
      </c>
      <c r="AJ49" s="7" t="s">
        <v>123</v>
      </c>
      <c r="AK49" s="9">
        <f t="shared" si="13"/>
        <v>1.4823430493273544</v>
      </c>
      <c r="AL49" s="87" t="s">
        <v>531</v>
      </c>
    </row>
    <row r="50" spans="3:38" x14ac:dyDescent="0.2">
      <c r="C50" s="7" t="s">
        <v>114</v>
      </c>
      <c r="D50" s="9">
        <f t="shared" si="6"/>
        <v>1.4374147804745023</v>
      </c>
      <c r="E50" s="9" t="s">
        <v>127</v>
      </c>
      <c r="L50" s="7" t="s">
        <v>114</v>
      </c>
      <c r="M50" s="9">
        <f t="shared" si="7"/>
        <v>1.5345558223289317</v>
      </c>
      <c r="N50" s="87" t="s">
        <v>644</v>
      </c>
      <c r="P50" s="7" t="s">
        <v>114</v>
      </c>
      <c r="Q50" s="9">
        <f t="shared" si="8"/>
        <v>1.3660028634647925</v>
      </c>
      <c r="R50" s="87" t="s">
        <v>442</v>
      </c>
      <c r="T50" s="7" t="s">
        <v>114</v>
      </c>
      <c r="U50" s="9">
        <f t="shared" si="9"/>
        <v>1.3473818646232441</v>
      </c>
      <c r="V50" s="87" t="s">
        <v>460</v>
      </c>
      <c r="X50" s="7" t="s">
        <v>114</v>
      </c>
      <c r="Y50" s="9">
        <f t="shared" si="10"/>
        <v>1.4273858921161826</v>
      </c>
      <c r="Z50" s="87" t="s">
        <v>478</v>
      </c>
      <c r="AB50" s="7" t="s">
        <v>114</v>
      </c>
      <c r="AC50" s="9">
        <f t="shared" si="11"/>
        <v>1.5149665794827087</v>
      </c>
      <c r="AD50" s="87" t="s">
        <v>496</v>
      </c>
      <c r="AF50" s="7" t="s">
        <v>114</v>
      </c>
      <c r="AG50" s="9">
        <f t="shared" si="12"/>
        <v>1.4951456310679612</v>
      </c>
      <c r="AH50" s="87" t="s">
        <v>514</v>
      </c>
      <c r="AJ50" s="7" t="s">
        <v>114</v>
      </c>
      <c r="AK50" s="9">
        <f t="shared" si="13"/>
        <v>1.4528224145035022</v>
      </c>
      <c r="AL50" s="87" t="s">
        <v>532</v>
      </c>
    </row>
    <row r="51" spans="3:38" x14ac:dyDescent="0.2">
      <c r="C51" s="7" t="s">
        <v>115</v>
      </c>
      <c r="D51" s="9">
        <f t="shared" si="6"/>
        <v>1.4106784423926133</v>
      </c>
      <c r="E51" s="9" t="s">
        <v>170</v>
      </c>
      <c r="L51" s="7" t="s">
        <v>115</v>
      </c>
      <c r="M51" s="9">
        <f t="shared" si="7"/>
        <v>1.4846515679442511</v>
      </c>
      <c r="N51" s="87" t="s">
        <v>646</v>
      </c>
      <c r="P51" s="7" t="s">
        <v>115</v>
      </c>
      <c r="Q51" s="9">
        <f t="shared" si="8"/>
        <v>1.3415569474626101</v>
      </c>
      <c r="R51" s="87" t="s">
        <v>443</v>
      </c>
      <c r="T51" s="7" t="s">
        <v>115</v>
      </c>
      <c r="U51" s="9">
        <f t="shared" si="9"/>
        <v>1.3287153652392947</v>
      </c>
      <c r="V51" s="87" t="s">
        <v>461</v>
      </c>
      <c r="X51" s="7" t="s">
        <v>115</v>
      </c>
      <c r="Y51" s="9">
        <f t="shared" si="10"/>
        <v>1.3908355795148248</v>
      </c>
      <c r="Z51" s="87" t="s">
        <v>479</v>
      </c>
      <c r="AB51" s="7" t="s">
        <v>115</v>
      </c>
      <c r="AC51" s="9">
        <f t="shared" si="11"/>
        <v>1.4639146307217075</v>
      </c>
      <c r="AD51" s="87" t="s">
        <v>497</v>
      </c>
      <c r="AF51" s="7" t="s">
        <v>115</v>
      </c>
      <c r="AG51" s="9">
        <f t="shared" si="12"/>
        <v>1.4828060522696009</v>
      </c>
      <c r="AH51" s="87" t="s">
        <v>515</v>
      </c>
      <c r="AJ51" s="7" t="s">
        <v>115</v>
      </c>
      <c r="AK51" s="9">
        <f t="shared" si="13"/>
        <v>1.4196752113810227</v>
      </c>
      <c r="AL51" s="87" t="s">
        <v>533</v>
      </c>
    </row>
    <row r="52" spans="3:38" x14ac:dyDescent="0.2">
      <c r="C52" s="7" t="s">
        <v>116</v>
      </c>
      <c r="D52" s="9">
        <f t="shared" si="6"/>
        <v>1.3803849679193401</v>
      </c>
      <c r="E52" s="9" t="s">
        <v>171</v>
      </c>
      <c r="L52" s="7" t="s">
        <v>116</v>
      </c>
      <c r="M52" s="9">
        <f t="shared" si="7"/>
        <v>1.4435742518351216</v>
      </c>
      <c r="N52" s="87" t="s">
        <v>647</v>
      </c>
      <c r="P52" s="7" t="s">
        <v>116</v>
      </c>
      <c r="Q52" s="9">
        <f t="shared" si="8"/>
        <v>1.3181361466968098</v>
      </c>
      <c r="R52" s="87" t="s">
        <v>444</v>
      </c>
      <c r="T52" s="7" t="s">
        <v>116</v>
      </c>
      <c r="U52" s="9">
        <f t="shared" si="9"/>
        <v>1.3040791100123608</v>
      </c>
      <c r="V52" s="87" t="s">
        <v>462</v>
      </c>
      <c r="X52" s="7" t="s">
        <v>116</v>
      </c>
      <c r="Y52" s="9">
        <f t="shared" si="10"/>
        <v>1.3596837944664031</v>
      </c>
      <c r="Z52" s="87" t="s">
        <v>480</v>
      </c>
      <c r="AB52" s="7" t="s">
        <v>116</v>
      </c>
      <c r="AC52" s="9">
        <f t="shared" si="11"/>
        <v>1.4237334425781782</v>
      </c>
      <c r="AD52" s="87" t="s">
        <v>498</v>
      </c>
      <c r="AF52" s="7" t="s">
        <v>116</v>
      </c>
      <c r="AG52" s="9">
        <f t="shared" si="12"/>
        <v>1.4646739130434783</v>
      </c>
      <c r="AH52" s="87" t="s">
        <v>516</v>
      </c>
      <c r="AJ52" s="7" t="s">
        <v>116</v>
      </c>
      <c r="AK52" s="9">
        <f t="shared" si="13"/>
        <v>1.3506128702757918</v>
      </c>
      <c r="AL52" s="87" t="s">
        <v>534</v>
      </c>
    </row>
    <row r="53" spans="3:38" x14ac:dyDescent="0.2">
      <c r="C53" s="7" t="s">
        <v>117</v>
      </c>
      <c r="D53" s="9">
        <f t="shared" si="6"/>
        <v>1.3522319138019498</v>
      </c>
      <c r="E53" s="9" t="s">
        <v>172</v>
      </c>
      <c r="L53" s="7" t="s">
        <v>117</v>
      </c>
      <c r="M53" s="9">
        <f t="shared" si="7"/>
        <v>1.4211061700944969</v>
      </c>
      <c r="N53" s="87" t="s">
        <v>648</v>
      </c>
      <c r="P53" s="7" t="s">
        <v>117</v>
      </c>
      <c r="Q53" s="9">
        <f t="shared" si="8"/>
        <v>1.2931246919664861</v>
      </c>
      <c r="R53" s="87" t="s">
        <v>445</v>
      </c>
      <c r="T53" s="7" t="s">
        <v>117</v>
      </c>
      <c r="U53" s="9">
        <f t="shared" si="9"/>
        <v>1.2865853658536586</v>
      </c>
      <c r="V53" s="87" t="s">
        <v>463</v>
      </c>
      <c r="X53" s="7" t="s">
        <v>117</v>
      </c>
      <c r="Y53" s="9">
        <f t="shared" si="10"/>
        <v>1.3247753530166879</v>
      </c>
      <c r="Z53" s="87" t="s">
        <v>481</v>
      </c>
      <c r="AB53" s="7" t="s">
        <v>117</v>
      </c>
      <c r="AC53" s="9">
        <f t="shared" si="11"/>
        <v>1.3743738465594517</v>
      </c>
      <c r="AD53" s="87" t="s">
        <v>499</v>
      </c>
      <c r="AF53" s="7" t="s">
        <v>117</v>
      </c>
      <c r="AG53" s="9">
        <f t="shared" si="12"/>
        <v>1.446979865771812</v>
      </c>
      <c r="AH53" s="87" t="s">
        <v>517</v>
      </c>
      <c r="AJ53" s="7" t="s">
        <v>117</v>
      </c>
      <c r="AK53" s="9">
        <f t="shared" si="13"/>
        <v>1.3003073140749848</v>
      </c>
      <c r="AL53" s="87" t="s">
        <v>535</v>
      </c>
    </row>
    <row r="54" spans="3:38" x14ac:dyDescent="0.2">
      <c r="C54" s="7" t="s">
        <v>118</v>
      </c>
      <c r="D54" s="9">
        <f t="shared" si="6"/>
        <v>1.3262045540319538</v>
      </c>
      <c r="E54" s="9" t="s">
        <v>126</v>
      </c>
      <c r="L54" s="7" t="s">
        <v>118</v>
      </c>
      <c r="M54" s="9">
        <f t="shared" si="7"/>
        <v>1.3894402173913043</v>
      </c>
      <c r="N54" s="87" t="s">
        <v>649</v>
      </c>
      <c r="P54" s="7" t="s">
        <v>118</v>
      </c>
      <c r="Q54" s="9">
        <f t="shared" si="8"/>
        <v>1.2655251416857589</v>
      </c>
      <c r="R54" s="87" t="s">
        <v>446</v>
      </c>
      <c r="T54" s="7" t="s">
        <v>118</v>
      </c>
      <c r="U54" s="9">
        <f t="shared" si="9"/>
        <v>1.2741545893719808</v>
      </c>
      <c r="V54" s="87" t="s">
        <v>464</v>
      </c>
      <c r="X54" s="7" t="s">
        <v>118</v>
      </c>
      <c r="Y54" s="9">
        <f t="shared" si="10"/>
        <v>1.2883895131086143</v>
      </c>
      <c r="Z54" s="87" t="s">
        <v>482</v>
      </c>
      <c r="AB54" s="7" t="s">
        <v>118</v>
      </c>
      <c r="AC54" s="9">
        <f t="shared" si="11"/>
        <v>1.3330776115586245</v>
      </c>
      <c r="AD54" s="87" t="s">
        <v>500</v>
      </c>
      <c r="AF54" s="7" t="s">
        <v>118</v>
      </c>
      <c r="AG54" s="9">
        <f t="shared" si="12"/>
        <v>1.4278145695364237</v>
      </c>
      <c r="AH54" s="87" t="s">
        <v>518</v>
      </c>
      <c r="AJ54" s="7" t="s">
        <v>118</v>
      </c>
      <c r="AK54" s="9">
        <f t="shared" si="13"/>
        <v>1.272005772005772</v>
      </c>
      <c r="AL54" s="87" t="s">
        <v>536</v>
      </c>
    </row>
    <row r="55" spans="3:38" x14ac:dyDescent="0.2">
      <c r="C55" s="7" t="s">
        <v>119</v>
      </c>
      <c r="D55" s="9">
        <f t="shared" si="6"/>
        <v>1.3000369959304476</v>
      </c>
      <c r="E55" s="9" t="s">
        <v>124</v>
      </c>
      <c r="L55" s="7" t="s">
        <v>119</v>
      </c>
      <c r="M55" s="9">
        <f t="shared" si="7"/>
        <v>1.3533986236103759</v>
      </c>
      <c r="N55" s="87" t="s">
        <v>650</v>
      </c>
      <c r="P55" s="7" t="s">
        <v>119</v>
      </c>
      <c r="Q55" s="9">
        <f t="shared" si="8"/>
        <v>1.2367428706104171</v>
      </c>
      <c r="R55" s="87" t="s">
        <v>447</v>
      </c>
      <c r="T55" s="7" t="s">
        <v>119</v>
      </c>
      <c r="U55" s="9">
        <f t="shared" si="9"/>
        <v>1.2514827995255042</v>
      </c>
      <c r="V55" s="87" t="s">
        <v>465</v>
      </c>
      <c r="X55" s="7" t="s">
        <v>119</v>
      </c>
      <c r="Y55" s="9">
        <f t="shared" si="10"/>
        <v>1.26007326007326</v>
      </c>
      <c r="Z55" s="87" t="s">
        <v>483</v>
      </c>
      <c r="AB55" s="7" t="s">
        <v>119</v>
      </c>
      <c r="AC55" s="9">
        <f t="shared" si="11"/>
        <v>1.2935483870967743</v>
      </c>
      <c r="AD55" s="87" t="s">
        <v>501</v>
      </c>
      <c r="AF55" s="7" t="s">
        <v>119</v>
      </c>
      <c r="AG55" s="9">
        <f t="shared" si="12"/>
        <v>1.4091503267973855</v>
      </c>
      <c r="AH55" s="87" t="s">
        <v>519</v>
      </c>
      <c r="AJ55" s="7" t="s">
        <v>119</v>
      </c>
      <c r="AK55" s="9">
        <f t="shared" si="13"/>
        <v>1.254506641366224</v>
      </c>
      <c r="AL55" s="87" t="s">
        <v>537</v>
      </c>
    </row>
    <row r="56" spans="3:38" x14ac:dyDescent="0.2">
      <c r="C56" s="7" t="s">
        <v>120</v>
      </c>
      <c r="D56" s="9">
        <f t="shared" si="6"/>
        <v>1.2724200362100182</v>
      </c>
      <c r="E56" s="9" t="s">
        <v>125</v>
      </c>
      <c r="L56" s="7" t="s">
        <v>120</v>
      </c>
      <c r="M56" s="9">
        <f t="shared" si="7"/>
        <v>1.309047619047619</v>
      </c>
      <c r="N56" s="87" t="s">
        <v>651</v>
      </c>
      <c r="P56" s="7" t="s">
        <v>120</v>
      </c>
      <c r="Q56" s="9">
        <f t="shared" si="8"/>
        <v>1.2137157395628542</v>
      </c>
      <c r="R56" s="87" t="s">
        <v>448</v>
      </c>
      <c r="T56" s="7" t="s">
        <v>120</v>
      </c>
      <c r="U56" s="9">
        <f t="shared" si="9"/>
        <v>1.2339181286549707</v>
      </c>
      <c r="V56" s="87" t="s">
        <v>466</v>
      </c>
      <c r="X56" s="7" t="s">
        <v>120</v>
      </c>
      <c r="Y56" s="9">
        <f t="shared" si="10"/>
        <v>1.2329749103942653</v>
      </c>
      <c r="Z56" s="87" t="s">
        <v>484</v>
      </c>
      <c r="AB56" s="7" t="s">
        <v>120</v>
      </c>
      <c r="AC56" s="9">
        <f t="shared" si="11"/>
        <v>1.2511700468018723</v>
      </c>
      <c r="AD56" s="87" t="s">
        <v>502</v>
      </c>
      <c r="AF56" s="7" t="s">
        <v>120</v>
      </c>
      <c r="AG56" s="9">
        <f t="shared" si="12"/>
        <v>1.3802816901408452</v>
      </c>
      <c r="AH56" s="87" t="s">
        <v>520</v>
      </c>
      <c r="AJ56" s="7" t="s">
        <v>120</v>
      </c>
      <c r="AK56" s="9">
        <f t="shared" si="13"/>
        <v>1.2361809045226131</v>
      </c>
      <c r="AL56" s="87" t="s">
        <v>538</v>
      </c>
    </row>
    <row r="57" spans="3:38" x14ac:dyDescent="0.2">
      <c r="C57" s="7" t="s">
        <v>1</v>
      </c>
      <c r="D57" s="9">
        <f t="shared" si="6"/>
        <v>1.2450690917680407</v>
      </c>
      <c r="E57" s="9" t="s">
        <v>103</v>
      </c>
      <c r="L57" s="7" t="s">
        <v>1</v>
      </c>
      <c r="M57" s="9">
        <f t="shared" si="7"/>
        <v>1.2681398809523809</v>
      </c>
      <c r="N57" s="87" t="s">
        <v>652</v>
      </c>
      <c r="P57" s="7" t="s">
        <v>1</v>
      </c>
      <c r="Q57" s="9">
        <f t="shared" si="8"/>
        <v>1.1912599318955732</v>
      </c>
      <c r="R57" s="87" t="s">
        <v>449</v>
      </c>
      <c r="T57" s="7" t="s">
        <v>1</v>
      </c>
      <c r="U57" s="9">
        <f t="shared" si="9"/>
        <v>1.2126436781609196</v>
      </c>
      <c r="V57" s="87" t="s">
        <v>467</v>
      </c>
      <c r="X57" s="7" t="s">
        <v>1</v>
      </c>
      <c r="Y57" s="9">
        <f t="shared" si="10"/>
        <v>1.205607476635514</v>
      </c>
      <c r="Z57" s="87" t="s">
        <v>485</v>
      </c>
      <c r="AB57" s="7" t="s">
        <v>1</v>
      </c>
      <c r="AC57" s="9">
        <f t="shared" si="11"/>
        <v>1.2082512457990497</v>
      </c>
      <c r="AD57" s="87" t="s">
        <v>503</v>
      </c>
      <c r="AF57" s="7" t="s">
        <v>1</v>
      </c>
      <c r="AG57" s="9">
        <f t="shared" si="12"/>
        <v>1.3491864831038798</v>
      </c>
      <c r="AH57" s="87" t="s">
        <v>521</v>
      </c>
      <c r="AJ57" s="7" t="s">
        <v>1</v>
      </c>
      <c r="AK57" s="9">
        <f t="shared" si="13"/>
        <v>1.2160018392918728</v>
      </c>
      <c r="AL57" s="87" t="s">
        <v>539</v>
      </c>
    </row>
    <row r="58" spans="3:38" x14ac:dyDescent="0.2">
      <c r="C58" s="7" t="s">
        <v>95</v>
      </c>
      <c r="D58" s="9">
        <f t="shared" si="6"/>
        <v>1.2166185804962493</v>
      </c>
      <c r="E58" s="9" t="s">
        <v>104</v>
      </c>
      <c r="L58" s="7" t="s">
        <v>95</v>
      </c>
      <c r="M58" s="9">
        <f t="shared" si="7"/>
        <v>1.2332706222865413</v>
      </c>
      <c r="N58" s="87" t="s">
        <v>653</v>
      </c>
      <c r="P58" s="7" t="s">
        <v>95</v>
      </c>
      <c r="Q58" s="9">
        <f t="shared" si="8"/>
        <v>1.1723637176050046</v>
      </c>
      <c r="R58" s="87" t="s">
        <v>450</v>
      </c>
      <c r="T58" s="7" t="s">
        <v>95</v>
      </c>
      <c r="U58" s="9">
        <f t="shared" si="9"/>
        <v>1.1853932584269662</v>
      </c>
      <c r="V58" s="87" t="s">
        <v>468</v>
      </c>
      <c r="X58" s="7" t="s">
        <v>95</v>
      </c>
      <c r="Y58" s="9">
        <f t="shared" si="10"/>
        <v>1.1821305841924399</v>
      </c>
      <c r="Z58" s="87" t="s">
        <v>486</v>
      </c>
      <c r="AB58" s="7" t="s">
        <v>95</v>
      </c>
      <c r="AC58" s="9">
        <f t="shared" si="11"/>
        <v>1.1747605633802818</v>
      </c>
      <c r="AD58" s="87" t="s">
        <v>504</v>
      </c>
      <c r="AF58" s="7" t="s">
        <v>95</v>
      </c>
      <c r="AG58" s="9">
        <f t="shared" si="12"/>
        <v>1.3178484107579462</v>
      </c>
      <c r="AH58" s="87" t="s">
        <v>522</v>
      </c>
      <c r="AJ58" s="7" t="s">
        <v>95</v>
      </c>
      <c r="AK58" s="9">
        <f t="shared" si="13"/>
        <v>1.1971480307831599</v>
      </c>
      <c r="AL58" s="87" t="s">
        <v>540</v>
      </c>
    </row>
    <row r="59" spans="3:38" x14ac:dyDescent="0.2">
      <c r="C59" s="7" t="s">
        <v>96</v>
      </c>
      <c r="D59" s="9">
        <f t="shared" si="6"/>
        <v>1.1749888542131075</v>
      </c>
      <c r="E59" s="9" t="s">
        <v>105</v>
      </c>
      <c r="L59" s="7" t="s">
        <v>96</v>
      </c>
      <c r="M59" s="9">
        <f t="shared" si="7"/>
        <v>1.1874288793003349</v>
      </c>
      <c r="N59" s="87" t="s">
        <v>654</v>
      </c>
      <c r="P59" s="7" t="s">
        <v>96</v>
      </c>
      <c r="Q59" s="9">
        <f t="shared" si="8"/>
        <v>1.1365605371453325</v>
      </c>
      <c r="R59" s="87" t="s">
        <v>451</v>
      </c>
      <c r="T59" s="7" t="s">
        <v>96</v>
      </c>
      <c r="U59" s="9">
        <f t="shared" si="9"/>
        <v>1.1542669584245075</v>
      </c>
      <c r="V59" s="87" t="s">
        <v>469</v>
      </c>
      <c r="X59" s="7" t="s">
        <v>96</v>
      </c>
      <c r="Y59" s="9">
        <f t="shared" si="10"/>
        <v>1.1415929203539823</v>
      </c>
      <c r="Z59" s="87" t="s">
        <v>487</v>
      </c>
      <c r="AB59" s="7" t="s">
        <v>96</v>
      </c>
      <c r="AC59" s="9">
        <f t="shared" si="11"/>
        <v>1.1282328752299535</v>
      </c>
      <c r="AD59" s="87" t="s">
        <v>505</v>
      </c>
      <c r="AF59" s="7" t="s">
        <v>96</v>
      </c>
      <c r="AG59" s="9">
        <f>indexUK/AG19</f>
        <v>1.2727272727272727</v>
      </c>
      <c r="AH59" s="87" t="s">
        <v>523</v>
      </c>
      <c r="AJ59" s="7" t="s">
        <v>96</v>
      </c>
      <c r="AK59" s="9">
        <f t="shared" si="13"/>
        <v>1.171169176262179</v>
      </c>
      <c r="AL59" s="87" t="s">
        <v>541</v>
      </c>
    </row>
    <row r="60" spans="3:38" x14ac:dyDescent="0.2">
      <c r="C60" s="7" t="s">
        <v>97</v>
      </c>
      <c r="D60" s="9">
        <f t="shared" si="6"/>
        <v>1.1635761589403975</v>
      </c>
      <c r="E60" s="9" t="s">
        <v>106</v>
      </c>
      <c r="L60" s="7" t="s">
        <v>97</v>
      </c>
      <c r="M60" s="9">
        <f t="shared" si="7"/>
        <v>1.1916685699902581</v>
      </c>
      <c r="N60" s="87" t="s">
        <v>655</v>
      </c>
      <c r="P60" s="7" t="s">
        <v>97</v>
      </c>
      <c r="Q60" s="9">
        <f t="shared" si="8"/>
        <v>1.1353310255300737</v>
      </c>
      <c r="R60" s="87" t="s">
        <v>452</v>
      </c>
      <c r="T60" s="7" t="s">
        <v>97</v>
      </c>
      <c r="U60" s="9">
        <f t="shared" si="9"/>
        <v>1.1517467248908297</v>
      </c>
      <c r="V60" s="87" t="s">
        <v>470</v>
      </c>
      <c r="X60" s="7" t="s">
        <v>97</v>
      </c>
      <c r="Y60" s="9">
        <f t="shared" si="10"/>
        <v>1.132821075740944</v>
      </c>
      <c r="Z60" s="87" t="s">
        <v>488</v>
      </c>
      <c r="AB60" s="7" t="s">
        <v>97</v>
      </c>
      <c r="AC60" s="9">
        <f t="shared" si="11"/>
        <v>1.1309252630437141</v>
      </c>
      <c r="AD60" s="87" t="s">
        <v>506</v>
      </c>
      <c r="AF60" s="7" t="s">
        <v>97</v>
      </c>
      <c r="AG60" s="9">
        <f t="shared" si="12"/>
        <v>1.2448036951501156</v>
      </c>
      <c r="AH60" s="87" t="s">
        <v>524</v>
      </c>
      <c r="AJ60" s="7" t="s">
        <v>97</v>
      </c>
      <c r="AK60" s="9">
        <f t="shared" si="13"/>
        <v>1.1598684210526315</v>
      </c>
      <c r="AL60" s="87" t="s">
        <v>542</v>
      </c>
    </row>
    <row r="61" spans="3:38" x14ac:dyDescent="0.2">
      <c r="C61" s="7" t="s">
        <v>98</v>
      </c>
      <c r="D61" s="9">
        <f t="shared" si="6"/>
        <v>1.1397988971780735</v>
      </c>
      <c r="E61" s="9" t="s">
        <v>107</v>
      </c>
      <c r="L61" s="7" t="s">
        <v>98</v>
      </c>
      <c r="M61" s="9">
        <f t="shared" si="7"/>
        <v>1.1724373555416956</v>
      </c>
      <c r="N61" s="87" t="s">
        <v>645</v>
      </c>
      <c r="P61" s="7" t="s">
        <v>98</v>
      </c>
      <c r="Q61" s="9">
        <f t="shared" si="8"/>
        <v>1.1158958001063264</v>
      </c>
      <c r="R61" s="87" t="s">
        <v>453</v>
      </c>
      <c r="T61" s="7" t="s">
        <v>98</v>
      </c>
      <c r="U61" s="9">
        <f t="shared" si="9"/>
        <v>1.1380798274002157</v>
      </c>
      <c r="V61" s="87" t="s">
        <v>471</v>
      </c>
      <c r="X61" s="7" t="s">
        <v>98</v>
      </c>
      <c r="Y61" s="9">
        <f t="shared" si="10"/>
        <v>1.1144708423326135</v>
      </c>
      <c r="Z61" s="87" t="s">
        <v>489</v>
      </c>
      <c r="AB61" s="7" t="s">
        <v>98</v>
      </c>
      <c r="AC61" s="9">
        <f t="shared" si="11"/>
        <v>1.1082057823129252</v>
      </c>
      <c r="AD61" s="87" t="s">
        <v>507</v>
      </c>
      <c r="AF61" s="7" t="s">
        <v>98</v>
      </c>
      <c r="AG61" s="9">
        <f t="shared" si="12"/>
        <v>1.2058165548098434</v>
      </c>
      <c r="AH61" s="87" t="s">
        <v>525</v>
      </c>
      <c r="AJ61" s="7" t="s">
        <v>98</v>
      </c>
      <c r="AK61" s="9">
        <f t="shared" si="13"/>
        <v>1.1491580662683325</v>
      </c>
      <c r="AL61" s="87" t="s">
        <v>543</v>
      </c>
    </row>
    <row r="62" spans="3:38" x14ac:dyDescent="0.2">
      <c r="C62" s="7" t="s">
        <v>99</v>
      </c>
      <c r="D62" s="9">
        <f t="shared" si="6"/>
        <v>1.105494966442953</v>
      </c>
      <c r="E62" s="9" t="s">
        <v>108</v>
      </c>
      <c r="L62" s="7" t="s">
        <v>99</v>
      </c>
      <c r="M62" s="9">
        <f t="shared" si="7"/>
        <v>1.1365614677757081</v>
      </c>
      <c r="N62" s="87" t="s">
        <v>656</v>
      </c>
      <c r="P62" s="7" t="s">
        <v>99</v>
      </c>
      <c r="Q62" s="9">
        <f t="shared" si="8"/>
        <v>1.090956340956341</v>
      </c>
      <c r="R62" s="87" t="s">
        <v>454</v>
      </c>
      <c r="T62" s="7" t="s">
        <v>99</v>
      </c>
      <c r="U62" s="9">
        <f t="shared" si="9"/>
        <v>1.1105263157894736</v>
      </c>
      <c r="V62" s="87" t="s">
        <v>472</v>
      </c>
      <c r="X62" s="7" t="s">
        <v>99</v>
      </c>
      <c r="Y62" s="9">
        <f t="shared" si="10"/>
        <v>1.0828961175236098</v>
      </c>
      <c r="Z62" s="87" t="s">
        <v>490</v>
      </c>
      <c r="AB62" s="7" t="s">
        <v>99</v>
      </c>
      <c r="AC62" s="9">
        <f t="shared" si="11"/>
        <v>1.0755106251289459</v>
      </c>
      <c r="AD62" s="87" t="s">
        <v>508</v>
      </c>
      <c r="AF62" s="7" t="s">
        <v>99</v>
      </c>
      <c r="AG62" s="9">
        <f t="shared" si="12"/>
        <v>1.1541755888650962</v>
      </c>
      <c r="AH62" s="87" t="s">
        <v>526</v>
      </c>
      <c r="AJ62" s="7" t="s">
        <v>99</v>
      </c>
      <c r="AK62" s="9">
        <f t="shared" si="13"/>
        <v>1.1215012722646311</v>
      </c>
      <c r="AL62" s="87" t="s">
        <v>544</v>
      </c>
    </row>
    <row r="63" spans="3:38" x14ac:dyDescent="0.2">
      <c r="C63" s="7" t="s">
        <v>100</v>
      </c>
      <c r="D63" s="9">
        <f t="shared" si="6"/>
        <v>1.0770331017572539</v>
      </c>
      <c r="E63" s="9" t="s">
        <v>109</v>
      </c>
      <c r="L63" s="7" t="s">
        <v>100</v>
      </c>
      <c r="M63" s="9">
        <f t="shared" si="7"/>
        <v>1.1135177748547436</v>
      </c>
      <c r="N63" s="87" t="s">
        <v>657</v>
      </c>
      <c r="P63" s="7" t="s">
        <v>100</v>
      </c>
      <c r="Q63" s="9">
        <f t="shared" si="8"/>
        <v>1.0673243160785111</v>
      </c>
      <c r="R63" s="87" t="s">
        <v>455</v>
      </c>
      <c r="T63" s="7" t="s">
        <v>100</v>
      </c>
      <c r="U63" s="9">
        <f t="shared" si="9"/>
        <v>1.0876288659793814</v>
      </c>
      <c r="V63" s="87" t="s">
        <v>473</v>
      </c>
      <c r="X63" s="7" t="s">
        <v>100</v>
      </c>
      <c r="Y63" s="9">
        <f t="shared" si="10"/>
        <v>1.0487804878048781</v>
      </c>
      <c r="Z63" s="87" t="s">
        <v>491</v>
      </c>
      <c r="AB63" s="7" t="s">
        <v>100</v>
      </c>
      <c r="AC63" s="9">
        <f t="shared" si="11"/>
        <v>1.0498439230691774</v>
      </c>
      <c r="AD63" s="87" t="s">
        <v>509</v>
      </c>
      <c r="AF63" s="7" t="s">
        <v>100</v>
      </c>
      <c r="AG63" s="9">
        <f t="shared" si="12"/>
        <v>1.121748178980229</v>
      </c>
      <c r="AH63" s="87" t="s">
        <v>527</v>
      </c>
      <c r="AJ63" s="7" t="s">
        <v>100</v>
      </c>
      <c r="AK63" s="9">
        <f t="shared" si="13"/>
        <v>1.0906278997834828</v>
      </c>
      <c r="AL63" s="87" t="s">
        <v>545</v>
      </c>
    </row>
    <row r="64" spans="3:38" x14ac:dyDescent="0.2">
      <c r="C64" s="7" t="s">
        <v>101</v>
      </c>
      <c r="D64" s="9">
        <f t="shared" si="6"/>
        <v>1.0610971313537998</v>
      </c>
      <c r="E64" s="9" t="s">
        <v>110</v>
      </c>
      <c r="L64" s="7" t="s">
        <v>101</v>
      </c>
      <c r="M64" s="9">
        <f t="shared" si="7"/>
        <v>1.0974428757238461</v>
      </c>
      <c r="N64" s="87" t="s">
        <v>658</v>
      </c>
      <c r="P64" s="7" t="s">
        <v>101</v>
      </c>
      <c r="Q64" s="9">
        <f t="shared" si="8"/>
        <v>1.0567918638606384</v>
      </c>
      <c r="R64" s="87" t="s">
        <v>456</v>
      </c>
      <c r="T64" s="7" t="s">
        <v>101</v>
      </c>
      <c r="U64" s="9">
        <f t="shared" si="9"/>
        <v>1.0699797160243409</v>
      </c>
      <c r="V64" s="87" t="s">
        <v>474</v>
      </c>
      <c r="X64" s="7" t="s">
        <v>101</v>
      </c>
      <c r="Y64" s="9">
        <f t="shared" si="10"/>
        <v>1.0351053159478436</v>
      </c>
      <c r="Z64" s="87" t="s">
        <v>492</v>
      </c>
      <c r="AB64" s="7" t="s">
        <v>101</v>
      </c>
      <c r="AC64" s="9">
        <f t="shared" si="11"/>
        <v>1.034017653476148</v>
      </c>
      <c r="AD64" s="87" t="s">
        <v>510</v>
      </c>
      <c r="AF64" s="7" t="s">
        <v>101</v>
      </c>
      <c r="AG64" s="9">
        <f t="shared" si="12"/>
        <v>1.0944162436548224</v>
      </c>
      <c r="AH64" s="87" t="s">
        <v>528</v>
      </c>
      <c r="AJ64" s="7" t="s">
        <v>101</v>
      </c>
      <c r="AK64" s="9">
        <f t="shared" si="13"/>
        <v>1.063436211923193</v>
      </c>
      <c r="AL64" s="87" t="s">
        <v>546</v>
      </c>
    </row>
    <row r="65" spans="3:38" x14ac:dyDescent="0.2">
      <c r="C65" s="7" t="s">
        <v>177</v>
      </c>
      <c r="D65" s="9">
        <f t="shared" si="6"/>
        <v>1.0552552552552552</v>
      </c>
      <c r="E65" s="9" t="s">
        <v>178</v>
      </c>
      <c r="L65" s="7" t="s">
        <v>177</v>
      </c>
      <c r="M65" s="9">
        <f t="shared" si="7"/>
        <v>1.0799244728304949</v>
      </c>
      <c r="N65" s="87" t="s">
        <v>659</v>
      </c>
      <c r="P65" s="7" t="s">
        <v>177</v>
      </c>
      <c r="Q65" s="9">
        <f t="shared" si="8"/>
        <v>1.0504454008607749</v>
      </c>
      <c r="R65" s="87" t="s">
        <v>457</v>
      </c>
      <c r="T65" s="7" t="s">
        <v>177</v>
      </c>
      <c r="U65" s="9">
        <f t="shared" si="9"/>
        <v>1.0624370594159114</v>
      </c>
      <c r="V65" s="87" t="s">
        <v>475</v>
      </c>
      <c r="X65" s="7" t="s">
        <v>177</v>
      </c>
      <c r="Y65" s="9">
        <f t="shared" si="10"/>
        <v>1.0330330330330331</v>
      </c>
      <c r="Z65" s="87" t="s">
        <v>493</v>
      </c>
      <c r="AB65" s="7" t="s">
        <v>177</v>
      </c>
      <c r="AC65" s="9">
        <f t="shared" si="11"/>
        <v>1.0360727417271192</v>
      </c>
      <c r="AD65" s="87" t="s">
        <v>511</v>
      </c>
      <c r="AF65" s="7" t="s">
        <v>177</v>
      </c>
      <c r="AG65" s="9">
        <f>indexUK/AG25</f>
        <v>1.0780000000000001</v>
      </c>
      <c r="AH65" s="87" t="s">
        <v>529</v>
      </c>
      <c r="AJ65" s="7" t="s">
        <v>177</v>
      </c>
      <c r="AK65" s="9">
        <f t="shared" si="13"/>
        <v>1.0600260547149012</v>
      </c>
      <c r="AL65" s="87" t="s">
        <v>547</v>
      </c>
    </row>
    <row r="66" spans="3:38" x14ac:dyDescent="0.2">
      <c r="C66" s="7" t="s">
        <v>621</v>
      </c>
      <c r="D66" s="9">
        <f t="shared" si="6"/>
        <v>1.0542</v>
      </c>
      <c r="E66" s="9" t="s">
        <v>622</v>
      </c>
      <c r="L66" s="7" t="s">
        <v>621</v>
      </c>
      <c r="M66" s="9">
        <f t="shared" si="7"/>
        <v>1.0786441478881261</v>
      </c>
      <c r="N66" s="87" t="s">
        <v>660</v>
      </c>
      <c r="P66" s="7" t="s">
        <v>621</v>
      </c>
      <c r="Q66" s="9">
        <f t="shared" si="8"/>
        <v>1.0495000000000001</v>
      </c>
      <c r="R66" s="87" t="s">
        <v>628</v>
      </c>
      <c r="T66" s="7" t="s">
        <v>621</v>
      </c>
      <c r="U66" s="9">
        <f t="shared" si="9"/>
        <v>1.0549999999999999</v>
      </c>
      <c r="V66" s="87" t="s">
        <v>630</v>
      </c>
      <c r="X66" s="7" t="s">
        <v>621</v>
      </c>
      <c r="Y66" s="9">
        <f t="shared" si="10"/>
        <v>1.032</v>
      </c>
      <c r="Z66" s="87" t="s">
        <v>632</v>
      </c>
      <c r="AB66" s="7" t="s">
        <v>621</v>
      </c>
      <c r="AC66" s="9">
        <f t="shared" si="11"/>
        <v>1.0426</v>
      </c>
      <c r="AD66" s="87" t="s">
        <v>634</v>
      </c>
      <c r="AF66" s="7" t="s">
        <v>621</v>
      </c>
      <c r="AG66" s="9">
        <f t="shared" si="12"/>
        <v>1.0780000000000001</v>
      </c>
      <c r="AH66" s="87" t="s">
        <v>636</v>
      </c>
      <c r="AJ66" s="7" t="s">
        <v>621</v>
      </c>
      <c r="AK66" s="9">
        <f t="shared" si="13"/>
        <v>1.0578000000000001</v>
      </c>
      <c r="AL66" s="87" t="s">
        <v>638</v>
      </c>
    </row>
    <row r="67" spans="3:38" x14ac:dyDescent="0.2">
      <c r="C67" s="7" t="s">
        <v>625</v>
      </c>
      <c r="D67" s="9">
        <f t="shared" si="6"/>
        <v>1.051571072319202</v>
      </c>
      <c r="E67" s="9" t="s">
        <v>626</v>
      </c>
      <c r="L67" s="7" t="s">
        <v>625</v>
      </c>
      <c r="M67" s="9">
        <f t="shared" si="7"/>
        <v>1.0652064314790819</v>
      </c>
      <c r="N67" s="87" t="s">
        <v>661</v>
      </c>
      <c r="P67" s="7" t="s">
        <v>625</v>
      </c>
      <c r="Q67" s="9">
        <f t="shared" si="8"/>
        <v>1.0462566045259696</v>
      </c>
      <c r="R67" s="87" t="s">
        <v>629</v>
      </c>
      <c r="T67" s="7" t="s">
        <v>625</v>
      </c>
      <c r="U67" s="9">
        <f t="shared" si="9"/>
        <v>1.0507968127490039</v>
      </c>
      <c r="V67" s="87" t="s">
        <v>631</v>
      </c>
      <c r="X67" s="7" t="s">
        <v>625</v>
      </c>
      <c r="Y67" s="9">
        <f t="shared" si="10"/>
        <v>1.0330330330330331</v>
      </c>
      <c r="Z67" s="87" t="s">
        <v>633</v>
      </c>
      <c r="AB67" s="7" t="s">
        <v>625</v>
      </c>
      <c r="AC67" s="9">
        <f t="shared" si="11"/>
        <v>1.0461569335741523</v>
      </c>
      <c r="AD67" s="87" t="s">
        <v>635</v>
      </c>
      <c r="AF67" s="7" t="s">
        <v>625</v>
      </c>
      <c r="AG67" s="9">
        <f t="shared" si="12"/>
        <v>1.0705064548162859</v>
      </c>
      <c r="AH67" s="87" t="s">
        <v>637</v>
      </c>
      <c r="AJ67" s="7" t="s">
        <v>625</v>
      </c>
      <c r="AK67" s="9">
        <f t="shared" si="13"/>
        <v>1.0566376985316153</v>
      </c>
      <c r="AL67" s="87" t="s">
        <v>639</v>
      </c>
    </row>
    <row r="68" spans="3:38" x14ac:dyDescent="0.2">
      <c r="C68" s="7" t="s">
        <v>726</v>
      </c>
      <c r="D68" s="9">
        <f t="shared" si="6"/>
        <v>1.0339348764221263</v>
      </c>
      <c r="E68" s="9" t="s">
        <v>729</v>
      </c>
      <c r="L68" s="7" t="s">
        <v>726</v>
      </c>
      <c r="M68" s="9">
        <f t="shared" si="7"/>
        <v>1.0429871083550915</v>
      </c>
      <c r="N68" s="87" t="s">
        <v>735</v>
      </c>
      <c r="P68" s="7" t="s">
        <v>726</v>
      </c>
      <c r="Q68" s="9">
        <f t="shared" si="8"/>
        <v>1.0342958509904405</v>
      </c>
      <c r="R68" s="87" t="s">
        <v>738</v>
      </c>
      <c r="T68" s="7" t="s">
        <v>726</v>
      </c>
      <c r="U68" s="9">
        <f t="shared" si="9"/>
        <v>1.0333006856023508</v>
      </c>
      <c r="V68" s="87" t="s">
        <v>741</v>
      </c>
      <c r="X68" s="7" t="s">
        <v>726</v>
      </c>
      <c r="Y68" s="9">
        <f t="shared" si="10"/>
        <v>1.018756169792695</v>
      </c>
      <c r="Z68" s="87" t="s">
        <v>744</v>
      </c>
      <c r="AB68" s="7" t="s">
        <v>726</v>
      </c>
      <c r="AC68" s="9">
        <f t="shared" si="11"/>
        <v>1.0252728881895958</v>
      </c>
      <c r="AD68" s="87" t="s">
        <v>747</v>
      </c>
      <c r="AF68" s="7" t="s">
        <v>726</v>
      </c>
      <c r="AG68" s="9">
        <f t="shared" si="12"/>
        <v>1.0425531914893615</v>
      </c>
      <c r="AH68" s="87" t="s">
        <v>750</v>
      </c>
      <c r="AJ68" s="7" t="s">
        <v>726</v>
      </c>
      <c r="AK68" s="9">
        <f t="shared" si="13"/>
        <v>1.0431952662721893</v>
      </c>
      <c r="AL68" s="87" t="s">
        <v>753</v>
      </c>
    </row>
    <row r="69" spans="3:38" x14ac:dyDescent="0.2">
      <c r="C69" s="7" t="s">
        <v>727</v>
      </c>
      <c r="D69" s="9">
        <f t="shared" si="6"/>
        <v>1.0147271152180191</v>
      </c>
      <c r="E69" s="9" t="s">
        <v>730</v>
      </c>
      <c r="L69" s="7" t="s">
        <v>727</v>
      </c>
      <c r="M69" s="9">
        <f t="shared" si="7"/>
        <v>1.0181197656775798</v>
      </c>
      <c r="N69" s="87" t="s">
        <v>736</v>
      </c>
      <c r="P69" s="7" t="s">
        <v>727</v>
      </c>
      <c r="Q69" s="9">
        <f t="shared" si="8"/>
        <v>1.013030888030888</v>
      </c>
      <c r="R69" s="87" t="s">
        <v>739</v>
      </c>
      <c r="T69" s="7" t="s">
        <v>727</v>
      </c>
      <c r="U69" s="9">
        <f t="shared" si="9"/>
        <v>1.0144230769230769</v>
      </c>
      <c r="V69" s="87" t="s">
        <v>742</v>
      </c>
      <c r="X69" s="7" t="s">
        <v>727</v>
      </c>
      <c r="Y69" s="9">
        <f t="shared" si="10"/>
        <v>1.0068292682926829</v>
      </c>
      <c r="Z69" s="87" t="s">
        <v>745</v>
      </c>
      <c r="AB69" s="7" t="s">
        <v>727</v>
      </c>
      <c r="AC69" s="9">
        <f t="shared" si="11"/>
        <v>1.007732456988208</v>
      </c>
      <c r="AD69" s="87" t="s">
        <v>748</v>
      </c>
      <c r="AF69" s="7" t="s">
        <v>727</v>
      </c>
      <c r="AG69" s="9">
        <f t="shared" si="12"/>
        <v>1.0179414542020773</v>
      </c>
      <c r="AH69" s="87" t="s">
        <v>751</v>
      </c>
      <c r="AJ69" s="7" t="s">
        <v>727</v>
      </c>
      <c r="AK69" s="9">
        <f t="shared" si="13"/>
        <v>1.0267909143855563</v>
      </c>
      <c r="AL69" s="87" t="s">
        <v>754</v>
      </c>
    </row>
    <row r="70" spans="3:38" x14ac:dyDescent="0.2">
      <c r="C70" s="7" t="s">
        <v>728</v>
      </c>
      <c r="D70" s="9">
        <f t="shared" si="6"/>
        <v>1</v>
      </c>
      <c r="E70" s="9" t="s">
        <v>731</v>
      </c>
      <c r="L70" s="7" t="s">
        <v>728</v>
      </c>
      <c r="M70" s="9">
        <f t="shared" si="7"/>
        <v>1</v>
      </c>
      <c r="N70" s="87" t="s">
        <v>737</v>
      </c>
      <c r="P70" s="7" t="s">
        <v>728</v>
      </c>
      <c r="Q70" s="9">
        <f t="shared" si="8"/>
        <v>1</v>
      </c>
      <c r="R70" s="87" t="s">
        <v>740</v>
      </c>
      <c r="T70" s="7" t="s">
        <v>728</v>
      </c>
      <c r="U70" s="9">
        <f t="shared" si="9"/>
        <v>1</v>
      </c>
      <c r="V70" s="87" t="s">
        <v>743</v>
      </c>
      <c r="X70" s="7" t="s">
        <v>728</v>
      </c>
      <c r="Y70" s="9">
        <f t="shared" si="10"/>
        <v>1</v>
      </c>
      <c r="Z70" s="87" t="s">
        <v>746</v>
      </c>
      <c r="AB70" s="7" t="s">
        <v>728</v>
      </c>
      <c r="AC70" s="9">
        <f t="shared" si="11"/>
        <v>1</v>
      </c>
      <c r="AD70" s="87" t="s">
        <v>749</v>
      </c>
      <c r="AF70" s="7" t="s">
        <v>728</v>
      </c>
      <c r="AG70" s="9">
        <f t="shared" si="12"/>
        <v>1</v>
      </c>
      <c r="AH70" s="87" t="s">
        <v>752</v>
      </c>
      <c r="AJ70" s="7" t="s">
        <v>728</v>
      </c>
      <c r="AK70" s="9">
        <f t="shared" si="13"/>
        <v>1</v>
      </c>
      <c r="AL70" s="87" t="s">
        <v>755</v>
      </c>
    </row>
  </sheetData>
  <mergeCells count="8">
    <mergeCell ref="AJ5:AL5"/>
    <mergeCell ref="C5:E5"/>
    <mergeCell ref="P5:R5"/>
    <mergeCell ref="T5:V5"/>
    <mergeCell ref="X5:Z5"/>
    <mergeCell ref="AB5:AD5"/>
    <mergeCell ref="AF5:AH5"/>
    <mergeCell ref="L5:N5"/>
  </mergeCells>
  <hyperlinks>
    <hyperlink ref="L3" r:id="rId1" xr:uid="{00000000-0004-0000-0000-000000000000}"/>
    <hyperlink ref="D2" r:id="rId2" xr:uid="{00000000-0004-0000-0000-000001000000}"/>
  </hyperlinks>
  <pageMargins left="0.75" right="0.75" top="1" bottom="1" header="0.5" footer="0.5"/>
  <pageSetup paperSize="9"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55"/>
  <sheetViews>
    <sheetView topLeftCell="A46" workbookViewId="0">
      <selection activeCell="E81" sqref="E81"/>
    </sheetView>
  </sheetViews>
  <sheetFormatPr defaultRowHeight="10.199999999999999" x14ac:dyDescent="0.2"/>
  <cols>
    <col min="1" max="1" width="7.140625" customWidth="1"/>
    <col min="2" max="2" width="28.85546875" customWidth="1"/>
    <col min="3" max="9" width="15.28515625" customWidth="1"/>
    <col min="10" max="10" width="29.42578125" customWidth="1"/>
    <col min="11" max="18" width="15.28515625" customWidth="1"/>
    <col min="21" max="21" width="13.7109375" bestFit="1" customWidth="1"/>
  </cols>
  <sheetData>
    <row r="2" spans="2:10" ht="13.2" x14ac:dyDescent="0.25">
      <c r="B2" s="195">
        <v>2014</v>
      </c>
    </row>
    <row r="3" spans="2:10" ht="10.8" thickBot="1" x14ac:dyDescent="0.25"/>
    <row r="4" spans="2:10" ht="12.6" thickBot="1" x14ac:dyDescent="0.25">
      <c r="B4" s="545" t="s">
        <v>610</v>
      </c>
      <c r="C4" s="547" t="s">
        <v>611</v>
      </c>
      <c r="D4" s="548"/>
      <c r="E4" s="548"/>
      <c r="F4" s="549"/>
      <c r="G4" s="550" t="s">
        <v>612</v>
      </c>
      <c r="H4" s="551"/>
      <c r="J4" s="552" t="s">
        <v>624</v>
      </c>
    </row>
    <row r="5" spans="2:10" ht="12" customHeight="1" x14ac:dyDescent="0.2">
      <c r="B5" s="546"/>
      <c r="C5" s="554" t="s">
        <v>613</v>
      </c>
      <c r="D5" s="555"/>
      <c r="E5" s="556"/>
      <c r="F5" s="552" t="s">
        <v>615</v>
      </c>
      <c r="G5" s="554" t="s">
        <v>616</v>
      </c>
      <c r="H5" s="556"/>
      <c r="J5" s="553"/>
    </row>
    <row r="6" spans="2:10" ht="13.35" customHeight="1" x14ac:dyDescent="0.2">
      <c r="B6" s="546"/>
      <c r="C6" s="559" t="s">
        <v>614</v>
      </c>
      <c r="D6" s="560"/>
      <c r="E6" s="561"/>
      <c r="F6" s="553"/>
      <c r="G6" s="557"/>
      <c r="H6" s="558"/>
      <c r="J6" s="553">
        <v>17600</v>
      </c>
    </row>
    <row r="7" spans="2:10" ht="11.4" x14ac:dyDescent="0.2">
      <c r="B7" s="186" t="s">
        <v>617</v>
      </c>
      <c r="C7" s="187">
        <v>50</v>
      </c>
      <c r="D7" s="187">
        <v>120</v>
      </c>
      <c r="E7" s="187">
        <v>180</v>
      </c>
      <c r="F7" s="187">
        <v>189</v>
      </c>
      <c r="G7" s="187">
        <v>250</v>
      </c>
      <c r="H7" s="187">
        <v>400</v>
      </c>
      <c r="J7" s="186"/>
    </row>
    <row r="8" spans="2:10" ht="11.4" x14ac:dyDescent="0.2">
      <c r="B8" s="188" t="s">
        <v>618</v>
      </c>
      <c r="C8" s="191">
        <v>6200</v>
      </c>
      <c r="D8" s="191">
        <v>15200</v>
      </c>
      <c r="E8" s="191">
        <v>23600</v>
      </c>
      <c r="F8" s="191">
        <v>18400</v>
      </c>
      <c r="G8" s="191">
        <v>78400</v>
      </c>
      <c r="H8" s="191">
        <v>114500</v>
      </c>
      <c r="J8" s="188">
        <v>17600</v>
      </c>
    </row>
    <row r="9" spans="2:10" ht="23.4" thickBot="1" x14ac:dyDescent="0.25">
      <c r="B9" s="189" t="s">
        <v>619</v>
      </c>
      <c r="C9" s="192">
        <v>3100</v>
      </c>
      <c r="D9" s="192">
        <v>7600</v>
      </c>
      <c r="E9" s="192">
        <v>12400</v>
      </c>
      <c r="F9" s="192">
        <v>17500</v>
      </c>
      <c r="G9" s="192">
        <v>40500</v>
      </c>
      <c r="H9" s="192">
        <v>64800</v>
      </c>
      <c r="J9" s="189"/>
    </row>
    <row r="12" spans="2:10" ht="13.2" x14ac:dyDescent="0.2">
      <c r="B12" s="190" t="s">
        <v>620</v>
      </c>
    </row>
    <row r="17" spans="2:10" ht="13.2" x14ac:dyDescent="0.25">
      <c r="B17" s="195">
        <v>2016</v>
      </c>
    </row>
    <row r="18" spans="2:10" ht="10.8" thickBot="1" x14ac:dyDescent="0.25"/>
    <row r="19" spans="2:10" ht="12.6" thickBot="1" x14ac:dyDescent="0.25">
      <c r="B19" s="545" t="s">
        <v>610</v>
      </c>
      <c r="C19" s="547" t="s">
        <v>611</v>
      </c>
      <c r="D19" s="548"/>
      <c r="E19" s="548"/>
      <c r="F19" s="549"/>
      <c r="G19" s="550" t="s">
        <v>612</v>
      </c>
      <c r="H19" s="551"/>
      <c r="J19" s="552" t="s">
        <v>624</v>
      </c>
    </row>
    <row r="20" spans="2:10" ht="12" x14ac:dyDescent="0.2">
      <c r="B20" s="546"/>
      <c r="C20" s="554" t="s">
        <v>613</v>
      </c>
      <c r="D20" s="555"/>
      <c r="E20" s="556"/>
      <c r="F20" s="552" t="s">
        <v>615</v>
      </c>
      <c r="G20" s="554" t="s">
        <v>616</v>
      </c>
      <c r="H20" s="556"/>
      <c r="J20" s="553"/>
    </row>
    <row r="21" spans="2:10" ht="13.2" x14ac:dyDescent="0.2">
      <c r="B21" s="546"/>
      <c r="C21" s="559" t="s">
        <v>614</v>
      </c>
      <c r="D21" s="560"/>
      <c r="E21" s="561"/>
      <c r="F21" s="553"/>
      <c r="G21" s="557"/>
      <c r="H21" s="558"/>
      <c r="J21" s="553">
        <v>17600</v>
      </c>
    </row>
    <row r="22" spans="2:10" ht="11.4" x14ac:dyDescent="0.2">
      <c r="B22" s="186" t="s">
        <v>617</v>
      </c>
      <c r="C22" s="187">
        <v>50</v>
      </c>
      <c r="D22" s="187">
        <v>120</v>
      </c>
      <c r="E22" s="187">
        <v>180</v>
      </c>
      <c r="F22" s="187">
        <v>189</v>
      </c>
      <c r="G22" s="187">
        <v>250</v>
      </c>
      <c r="H22" s="187">
        <v>400</v>
      </c>
      <c r="J22" s="186"/>
    </row>
    <row r="23" spans="2:10" ht="11.4" x14ac:dyDescent="0.2">
      <c r="B23" s="188" t="s">
        <v>618</v>
      </c>
      <c r="C23" s="193">
        <f>ROUNDUP(C8*'basic assumptions'!$D$27/100,0)</f>
        <v>6216</v>
      </c>
      <c r="D23" s="193">
        <f>ROUNDUP(D8*'basic assumptions'!$D$27/100,0)</f>
        <v>15238</v>
      </c>
      <c r="E23" s="193">
        <f>ROUNDUP(E8*'basic assumptions'!$D$27/100,0)</f>
        <v>23659</v>
      </c>
      <c r="F23" s="193">
        <f>ROUNDUP(F8*'basic assumptions'!$D$27/100,0)</f>
        <v>18446</v>
      </c>
      <c r="G23" s="193">
        <f>ROUNDUP(G8*'basic assumptions'!$D$27/100,0)</f>
        <v>78596</v>
      </c>
      <c r="H23" s="193">
        <f>ROUNDUP(H8*'basic assumptions'!$D$27/100,0)</f>
        <v>114787</v>
      </c>
      <c r="J23" s="188">
        <f>J8*'basic assumptions'!D27/100</f>
        <v>17644</v>
      </c>
    </row>
    <row r="24" spans="2:10" ht="23.4" thickBot="1" x14ac:dyDescent="0.25">
      <c r="B24" s="189" t="s">
        <v>619</v>
      </c>
      <c r="C24" s="194">
        <f>ROUND(C9*'basic assumptions'!$D$27/100,0)</f>
        <v>3108</v>
      </c>
      <c r="D24" s="194">
        <f>ROUND(D9*'basic assumptions'!$D$27/100,0)</f>
        <v>7619</v>
      </c>
      <c r="E24" s="194">
        <f>ROUND(E9*'basic assumptions'!$D$27/100,0)</f>
        <v>12431</v>
      </c>
      <c r="F24" s="194">
        <f>ROUND(F9*'basic assumptions'!$D$27/100,0)</f>
        <v>17544</v>
      </c>
      <c r="G24" s="194">
        <f>ROUND(G9*'basic assumptions'!$D$27/100,0)</f>
        <v>40601</v>
      </c>
      <c r="H24" s="194">
        <f>ROUND(H9*'basic assumptions'!$D$27/100,0)</f>
        <v>64962</v>
      </c>
      <c r="J24" s="189"/>
    </row>
    <row r="27" spans="2:10" ht="13.2" x14ac:dyDescent="0.25">
      <c r="B27" s="195" t="s">
        <v>623</v>
      </c>
    </row>
    <row r="28" spans="2:10" ht="10.8" thickBot="1" x14ac:dyDescent="0.25"/>
    <row r="29" spans="2:10" ht="12.6" thickBot="1" x14ac:dyDescent="0.25">
      <c r="B29" s="545" t="s">
        <v>610</v>
      </c>
      <c r="C29" s="547" t="s">
        <v>611</v>
      </c>
      <c r="D29" s="548"/>
      <c r="E29" s="548"/>
      <c r="F29" s="549"/>
      <c r="G29" s="550" t="s">
        <v>612</v>
      </c>
      <c r="H29" s="551"/>
      <c r="J29" s="552" t="s">
        <v>624</v>
      </c>
    </row>
    <row r="30" spans="2:10" ht="12" x14ac:dyDescent="0.2">
      <c r="B30" s="546"/>
      <c r="C30" s="554" t="s">
        <v>613</v>
      </c>
      <c r="D30" s="555"/>
      <c r="E30" s="556"/>
      <c r="F30" s="552" t="s">
        <v>615</v>
      </c>
      <c r="G30" s="554" t="s">
        <v>616</v>
      </c>
      <c r="H30" s="556"/>
      <c r="J30" s="553"/>
    </row>
    <row r="31" spans="2:10" ht="13.2" x14ac:dyDescent="0.2">
      <c r="B31" s="546"/>
      <c r="C31" s="559" t="s">
        <v>614</v>
      </c>
      <c r="D31" s="560"/>
      <c r="E31" s="561"/>
      <c r="F31" s="553"/>
      <c r="G31" s="557"/>
      <c r="H31" s="558"/>
      <c r="J31" s="553">
        <v>17600</v>
      </c>
    </row>
    <row r="32" spans="2:10" ht="11.4" x14ac:dyDescent="0.2">
      <c r="B32" s="186" t="s">
        <v>617</v>
      </c>
      <c r="C32" s="187">
        <v>50</v>
      </c>
      <c r="D32" s="187">
        <v>120</v>
      </c>
      <c r="E32" s="187">
        <v>180</v>
      </c>
      <c r="F32" s="187">
        <v>189</v>
      </c>
      <c r="G32" s="187">
        <v>250</v>
      </c>
      <c r="H32" s="187">
        <v>400</v>
      </c>
      <c r="J32" s="186"/>
    </row>
    <row r="33" spans="2:10" ht="11.4" x14ac:dyDescent="0.2">
      <c r="B33" s="188" t="s">
        <v>618</v>
      </c>
      <c r="C33" s="193">
        <v>6220</v>
      </c>
      <c r="D33" s="193">
        <v>15240</v>
      </c>
      <c r="E33" s="193">
        <v>23660</v>
      </c>
      <c r="F33" s="193">
        <v>18450</v>
      </c>
      <c r="G33" s="193">
        <v>78600</v>
      </c>
      <c r="H33" s="193">
        <v>114790</v>
      </c>
      <c r="J33" s="188">
        <v>17650</v>
      </c>
    </row>
    <row r="34" spans="2:10" ht="23.4" thickBot="1" x14ac:dyDescent="0.25">
      <c r="B34" s="189" t="s">
        <v>619</v>
      </c>
      <c r="C34" s="194">
        <v>3110</v>
      </c>
      <c r="D34" s="194">
        <v>7620</v>
      </c>
      <c r="E34" s="194">
        <v>12430</v>
      </c>
      <c r="F34" s="194">
        <v>17540</v>
      </c>
      <c r="G34" s="194">
        <v>40600</v>
      </c>
      <c r="H34" s="194">
        <v>64970</v>
      </c>
      <c r="J34" s="189"/>
    </row>
    <row r="38" spans="2:10" ht="13.2" x14ac:dyDescent="0.25">
      <c r="B38" s="195" t="s">
        <v>759</v>
      </c>
    </row>
    <row r="39" spans="2:10" ht="10.8" thickBot="1" x14ac:dyDescent="0.25"/>
    <row r="40" spans="2:10" ht="12.6" thickBot="1" x14ac:dyDescent="0.25">
      <c r="B40" s="545" t="s">
        <v>610</v>
      </c>
      <c r="C40" s="547" t="s">
        <v>611</v>
      </c>
      <c r="D40" s="548"/>
      <c r="E40" s="548"/>
      <c r="F40" s="549"/>
      <c r="G40" s="550" t="s">
        <v>612</v>
      </c>
      <c r="H40" s="551"/>
      <c r="J40" s="552" t="s">
        <v>624</v>
      </c>
    </row>
    <row r="41" spans="2:10" ht="12" x14ac:dyDescent="0.2">
      <c r="B41" s="546"/>
      <c r="C41" s="554" t="s">
        <v>613</v>
      </c>
      <c r="D41" s="555"/>
      <c r="E41" s="556"/>
      <c r="F41" s="552" t="s">
        <v>615</v>
      </c>
      <c r="G41" s="554" t="s">
        <v>616</v>
      </c>
      <c r="H41" s="556"/>
      <c r="J41" s="553"/>
    </row>
    <row r="42" spans="2:10" ht="13.2" x14ac:dyDescent="0.2">
      <c r="B42" s="546"/>
      <c r="C42" s="559" t="s">
        <v>614</v>
      </c>
      <c r="D42" s="560"/>
      <c r="E42" s="561"/>
      <c r="F42" s="553"/>
      <c r="G42" s="557"/>
      <c r="H42" s="558"/>
      <c r="J42" s="553">
        <v>17600</v>
      </c>
    </row>
    <row r="43" spans="2:10" ht="12.6" customHeight="1" x14ac:dyDescent="0.2">
      <c r="B43" s="186" t="s">
        <v>617</v>
      </c>
      <c r="C43" s="187">
        <v>50</v>
      </c>
      <c r="D43" s="187">
        <v>120</v>
      </c>
      <c r="E43" s="187">
        <v>180</v>
      </c>
      <c r="F43" s="187">
        <v>189</v>
      </c>
      <c r="G43" s="187">
        <v>250</v>
      </c>
      <c r="H43" s="187">
        <v>400</v>
      </c>
      <c r="J43" s="186"/>
    </row>
    <row r="44" spans="2:10" ht="11.4" x14ac:dyDescent="0.2">
      <c r="B44" s="188" t="s">
        <v>618</v>
      </c>
      <c r="C44" s="193">
        <f t="shared" ref="C44:J45" si="0">C8*factor14</f>
        <v>6542.5825825825823</v>
      </c>
      <c r="D44" s="193">
        <f t="shared" si="0"/>
        <v>16039.87987987988</v>
      </c>
      <c r="E44" s="193">
        <f t="shared" si="0"/>
        <v>24904.024024024024</v>
      </c>
      <c r="F44" s="193">
        <f t="shared" si="0"/>
        <v>19416.696696696697</v>
      </c>
      <c r="G44" s="193">
        <f t="shared" si="0"/>
        <v>82732.012012012012</v>
      </c>
      <c r="H44" s="193">
        <f t="shared" si="0"/>
        <v>120826.72672672672</v>
      </c>
      <c r="J44" s="193">
        <f t="shared" si="0"/>
        <v>18572.492492492493</v>
      </c>
    </row>
    <row r="45" spans="2:10" ht="23.4" thickBot="1" x14ac:dyDescent="0.25">
      <c r="B45" s="189" t="s">
        <v>619</v>
      </c>
      <c r="C45" s="194">
        <f t="shared" si="0"/>
        <v>3271.2912912912911</v>
      </c>
      <c r="D45" s="194">
        <f t="shared" si="0"/>
        <v>8019.9399399399399</v>
      </c>
      <c r="E45" s="194">
        <f t="shared" si="0"/>
        <v>13085.165165165165</v>
      </c>
      <c r="F45" s="194">
        <f t="shared" si="0"/>
        <v>18466.966966966967</v>
      </c>
      <c r="G45" s="194">
        <f t="shared" si="0"/>
        <v>42737.837837837833</v>
      </c>
      <c r="H45" s="194">
        <f t="shared" si="0"/>
        <v>68380.540540540533</v>
      </c>
      <c r="J45" s="189"/>
    </row>
    <row r="48" spans="2:10" ht="13.2" x14ac:dyDescent="0.25">
      <c r="B48" s="195" t="s">
        <v>760</v>
      </c>
    </row>
    <row r="49" spans="2:10" ht="10.8" thickBot="1" x14ac:dyDescent="0.25"/>
    <row r="50" spans="2:10" ht="12.6" thickBot="1" x14ac:dyDescent="0.25">
      <c r="B50" s="545" t="s">
        <v>610</v>
      </c>
      <c r="C50" s="547" t="s">
        <v>611</v>
      </c>
      <c r="D50" s="548"/>
      <c r="E50" s="548"/>
      <c r="F50" s="549"/>
      <c r="G50" s="550" t="s">
        <v>612</v>
      </c>
      <c r="H50" s="551"/>
      <c r="J50" s="552" t="s">
        <v>624</v>
      </c>
    </row>
    <row r="51" spans="2:10" ht="12" x14ac:dyDescent="0.2">
      <c r="B51" s="546"/>
      <c r="C51" s="554" t="s">
        <v>613</v>
      </c>
      <c r="D51" s="555"/>
      <c r="E51" s="556"/>
      <c r="F51" s="552" t="s">
        <v>615</v>
      </c>
      <c r="G51" s="554" t="s">
        <v>616</v>
      </c>
      <c r="H51" s="556"/>
      <c r="J51" s="553"/>
    </row>
    <row r="52" spans="2:10" ht="13.2" x14ac:dyDescent="0.2">
      <c r="B52" s="546"/>
      <c r="C52" s="559" t="s">
        <v>614</v>
      </c>
      <c r="D52" s="560"/>
      <c r="E52" s="561"/>
      <c r="F52" s="553"/>
      <c r="G52" s="557"/>
      <c r="H52" s="558"/>
      <c r="J52" s="553">
        <v>17600</v>
      </c>
    </row>
    <row r="53" spans="2:10" ht="11.4" x14ac:dyDescent="0.2">
      <c r="B53" s="186" t="s">
        <v>617</v>
      </c>
      <c r="C53" s="187">
        <v>50</v>
      </c>
      <c r="D53" s="187">
        <v>120</v>
      </c>
      <c r="E53" s="187">
        <v>180</v>
      </c>
      <c r="F53" s="187">
        <v>189</v>
      </c>
      <c r="G53" s="187">
        <v>250</v>
      </c>
      <c r="H53" s="187">
        <v>400</v>
      </c>
      <c r="J53" s="186"/>
    </row>
    <row r="54" spans="2:10" ht="11.4" x14ac:dyDescent="0.2">
      <c r="B54" s="188" t="s">
        <v>618</v>
      </c>
      <c r="C54" s="193">
        <f>ROUND(C44,-1)</f>
        <v>6540</v>
      </c>
      <c r="D54" s="193">
        <f t="shared" ref="D54:J54" si="1">ROUND(D44,-1)</f>
        <v>16040</v>
      </c>
      <c r="E54" s="193">
        <f t="shared" si="1"/>
        <v>24900</v>
      </c>
      <c r="F54" s="193">
        <f t="shared" si="1"/>
        <v>19420</v>
      </c>
      <c r="G54" s="193">
        <f t="shared" si="1"/>
        <v>82730</v>
      </c>
      <c r="H54" s="193">
        <f t="shared" si="1"/>
        <v>120830</v>
      </c>
      <c r="J54" s="193">
        <f t="shared" si="1"/>
        <v>18570</v>
      </c>
    </row>
    <row r="55" spans="2:10" ht="23.4" thickBot="1" x14ac:dyDescent="0.25">
      <c r="B55" s="189" t="s">
        <v>619</v>
      </c>
      <c r="C55" s="194">
        <f t="shared" ref="C55:H55" si="2">ROUNDUP(C45,-1)</f>
        <v>3280</v>
      </c>
      <c r="D55" s="194">
        <f t="shared" si="2"/>
        <v>8020</v>
      </c>
      <c r="E55" s="194">
        <f t="shared" si="2"/>
        <v>13090</v>
      </c>
      <c r="F55" s="194">
        <f t="shared" si="2"/>
        <v>18470</v>
      </c>
      <c r="G55" s="194">
        <f t="shared" si="2"/>
        <v>42740</v>
      </c>
      <c r="H55" s="194">
        <f t="shared" si="2"/>
        <v>68390</v>
      </c>
      <c r="J55" s="189"/>
    </row>
  </sheetData>
  <mergeCells count="40">
    <mergeCell ref="B40:B42"/>
    <mergeCell ref="C40:F40"/>
    <mergeCell ref="G40:H40"/>
    <mergeCell ref="J40:J42"/>
    <mergeCell ref="C41:E41"/>
    <mergeCell ref="F41:F42"/>
    <mergeCell ref="G41:H42"/>
    <mergeCell ref="C42:E42"/>
    <mergeCell ref="J4:J6"/>
    <mergeCell ref="J19:J21"/>
    <mergeCell ref="J29:J31"/>
    <mergeCell ref="C29:F29"/>
    <mergeCell ref="G29:H29"/>
    <mergeCell ref="C30:E30"/>
    <mergeCell ref="F30:F31"/>
    <mergeCell ref="G30:H31"/>
    <mergeCell ref="C31:E31"/>
    <mergeCell ref="B4:B6"/>
    <mergeCell ref="C4:F4"/>
    <mergeCell ref="G4:H4"/>
    <mergeCell ref="C5:E5"/>
    <mergeCell ref="C6:E6"/>
    <mergeCell ref="F5:F6"/>
    <mergeCell ref="G5:H6"/>
    <mergeCell ref="B29:B31"/>
    <mergeCell ref="B19:B21"/>
    <mergeCell ref="C19:F19"/>
    <mergeCell ref="G19:H19"/>
    <mergeCell ref="C20:E20"/>
    <mergeCell ref="F20:F21"/>
    <mergeCell ref="G20:H21"/>
    <mergeCell ref="C21:E21"/>
    <mergeCell ref="B50:B52"/>
    <mergeCell ref="C50:F50"/>
    <mergeCell ref="G50:H50"/>
    <mergeCell ref="J50:J52"/>
    <mergeCell ref="C51:E51"/>
    <mergeCell ref="F51:F52"/>
    <mergeCell ref="G51:H52"/>
    <mergeCell ref="C52:E52"/>
  </mergeCells>
  <phoneticPr fontId="7" type="noConversion"/>
  <hyperlinks>
    <hyperlink ref="C6" location="_ftn1" display="_ftn1" xr:uid="{00000000-0004-0000-0100-000000000000}"/>
    <hyperlink ref="B12" location="_ftnref1" display="_ftnref1" xr:uid="{00000000-0004-0000-0100-000001000000}"/>
    <hyperlink ref="C21" location="_ftn1" display="_ftn1" xr:uid="{00000000-0004-0000-0100-000002000000}"/>
    <hyperlink ref="C31" location="_ftn1" display="_ftn1" xr:uid="{00000000-0004-0000-0100-000003000000}"/>
    <hyperlink ref="C42" location="_ftn1" display="_ftn1" xr:uid="{00000000-0004-0000-0100-000004000000}"/>
    <hyperlink ref="C52" location="_ftn1" display="_ftn1" xr:uid="{00000000-0004-0000-0100-000005000000}"/>
  </hyperlink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
  <sheetViews>
    <sheetView zoomScale="70" zoomScaleNormal="70" workbookViewId="0">
      <selection activeCell="H15" sqref="H15"/>
    </sheetView>
  </sheetViews>
  <sheetFormatPr defaultRowHeight="10.199999999999999" x14ac:dyDescent="0.2"/>
  <cols>
    <col min="1" max="1" width="39.85546875" customWidth="1"/>
    <col min="2" max="2" width="28.85546875" customWidth="1"/>
    <col min="3" max="3" width="20.7109375" bestFit="1" customWidth="1"/>
    <col min="4" max="4" width="17.85546875" bestFit="1" customWidth="1"/>
    <col min="5" max="5" width="14.7109375" bestFit="1" customWidth="1"/>
    <col min="6" max="6" width="14" customWidth="1"/>
    <col min="7" max="13" width="12.140625" customWidth="1"/>
    <col min="14" max="14" width="13.140625" customWidth="1"/>
    <col min="15" max="15" width="12.140625" customWidth="1"/>
    <col min="21" max="21" width="13.7109375" bestFit="1" customWidth="1"/>
  </cols>
  <sheetData>
    <row r="1" spans="1:9" s="287" customFormat="1" x14ac:dyDescent="0.2">
      <c r="A1" s="285" t="s">
        <v>46</v>
      </c>
      <c r="B1" s="286" t="s">
        <v>111</v>
      </c>
    </row>
    <row r="2" spans="1:9" s="287" customFormat="1" x14ac:dyDescent="0.2">
      <c r="A2" s="286" t="s">
        <v>128</v>
      </c>
      <c r="B2" s="286" t="s">
        <v>112</v>
      </c>
      <c r="C2" s="287" t="s">
        <v>71</v>
      </c>
    </row>
    <row r="3" spans="1:9" s="287" customFormat="1" x14ac:dyDescent="0.2">
      <c r="A3" s="287" t="s">
        <v>82</v>
      </c>
      <c r="C3" s="288">
        <v>3200</v>
      </c>
      <c r="F3" s="289">
        <f>C3*factor06</f>
        <v>3984.2210936577303</v>
      </c>
    </row>
    <row r="4" spans="1:9" s="287" customFormat="1" x14ac:dyDescent="0.2">
      <c r="A4" s="287" t="s">
        <v>83</v>
      </c>
      <c r="C4" s="288">
        <v>15000</v>
      </c>
      <c r="F4" s="289">
        <f>C4*factor06</f>
        <v>18676.036376520609</v>
      </c>
    </row>
    <row r="5" spans="1:9" s="287" customFormat="1" x14ac:dyDescent="0.2">
      <c r="A5" s="287" t="s">
        <v>84</v>
      </c>
      <c r="C5" s="288">
        <v>70000</v>
      </c>
      <c r="F5" s="289">
        <f>C5*factor06</f>
        <v>87154.836423762856</v>
      </c>
    </row>
    <row r="6" spans="1:9" s="287" customFormat="1" x14ac:dyDescent="0.2"/>
    <row r="7" spans="1:9" s="287" customFormat="1" x14ac:dyDescent="0.2">
      <c r="A7" s="286" t="s">
        <v>130</v>
      </c>
      <c r="B7" s="286" t="s">
        <v>113</v>
      </c>
      <c r="C7" s="287" t="s">
        <v>85</v>
      </c>
      <c r="D7" s="290">
        <v>5700</v>
      </c>
      <c r="E7" s="290" t="e">
        <f>D7*#REF!/#REF!</f>
        <v>#REF!</v>
      </c>
      <c r="F7" s="289">
        <f>D7*factor99</f>
        <v>8193.2642487046633</v>
      </c>
    </row>
    <row r="8" spans="1:9" s="287" customFormat="1" x14ac:dyDescent="0.2"/>
    <row r="9" spans="1:9" s="287" customFormat="1" x14ac:dyDescent="0.2">
      <c r="A9" s="285" t="s">
        <v>47</v>
      </c>
      <c r="B9" s="286"/>
      <c r="H9" s="287" t="s">
        <v>761</v>
      </c>
    </row>
    <row r="10" spans="1:9" s="287" customFormat="1" x14ac:dyDescent="0.2">
      <c r="A10" s="286" t="s">
        <v>129</v>
      </c>
      <c r="B10" s="286"/>
      <c r="F10" s="533">
        <v>2019</v>
      </c>
    </row>
    <row r="11" spans="1:9" s="287" customFormat="1" x14ac:dyDescent="0.2">
      <c r="A11" s="287" t="s">
        <v>72</v>
      </c>
      <c r="B11" s="287" t="s">
        <v>254</v>
      </c>
      <c r="C11" s="288">
        <v>700</v>
      </c>
      <c r="D11" s="290">
        <v>5000</v>
      </c>
      <c r="E11" s="289">
        <f t="shared" ref="E11:F13" si="0">C11*factor06</f>
        <v>871.54836423762845</v>
      </c>
      <c r="F11" s="289">
        <f t="shared" si="0"/>
        <v>6225.3454588402037</v>
      </c>
      <c r="H11" s="288">
        <f t="shared" ref="H11:I13" si="1">ROUND(E11,-2)</f>
        <v>900</v>
      </c>
      <c r="I11" s="288">
        <f t="shared" si="1"/>
        <v>6200</v>
      </c>
    </row>
    <row r="12" spans="1:9" s="287" customFormat="1" x14ac:dyDescent="0.2">
      <c r="A12" s="287" t="s">
        <v>73</v>
      </c>
      <c r="B12" s="287" t="s">
        <v>254</v>
      </c>
      <c r="C12" s="288">
        <v>1000</v>
      </c>
      <c r="D12" s="290">
        <v>7500</v>
      </c>
      <c r="E12" s="289">
        <f t="shared" si="0"/>
        <v>1245.0690917680406</v>
      </c>
      <c r="F12" s="289">
        <f t="shared" si="0"/>
        <v>9338.0181882603047</v>
      </c>
      <c r="H12" s="288">
        <f t="shared" si="1"/>
        <v>1200</v>
      </c>
      <c r="I12" s="288">
        <f t="shared" si="1"/>
        <v>9300</v>
      </c>
    </row>
    <row r="13" spans="1:9" s="287" customFormat="1" x14ac:dyDescent="0.2">
      <c r="A13" s="287" t="s">
        <v>74</v>
      </c>
      <c r="B13" s="287" t="s">
        <v>254</v>
      </c>
      <c r="C13" s="288">
        <v>5000</v>
      </c>
      <c r="D13" s="291">
        <v>55000</v>
      </c>
      <c r="E13" s="289">
        <f t="shared" si="0"/>
        <v>6225.3454588402037</v>
      </c>
      <c r="F13" s="289">
        <f t="shared" si="0"/>
        <v>68478.800047242243</v>
      </c>
      <c r="H13" s="288">
        <f t="shared" si="1"/>
        <v>6200</v>
      </c>
      <c r="I13" s="288">
        <f t="shared" si="1"/>
        <v>68500</v>
      </c>
    </row>
    <row r="14" spans="1:9" s="287" customFormat="1" x14ac:dyDescent="0.2">
      <c r="C14" s="288"/>
      <c r="D14" s="291"/>
      <c r="E14" s="291"/>
      <c r="F14" s="291"/>
      <c r="G14" s="291"/>
      <c r="H14" s="291"/>
    </row>
    <row r="15" spans="1:9" s="287" customFormat="1" x14ac:dyDescent="0.2">
      <c r="A15" s="287" t="s">
        <v>252</v>
      </c>
      <c r="B15" s="287" t="s">
        <v>253</v>
      </c>
      <c r="C15" s="288">
        <v>7243</v>
      </c>
      <c r="D15" s="291"/>
      <c r="E15" s="291"/>
      <c r="F15" s="289">
        <f>C15*factor12</f>
        <v>7800.9507560277898</v>
      </c>
      <c r="G15" s="291"/>
      <c r="H15" s="288">
        <f>ROUND(F15,-2)</f>
        <v>7800</v>
      </c>
    </row>
    <row r="16" spans="1:9" s="287" customFormat="1" x14ac:dyDescent="0.2">
      <c r="C16" s="288"/>
      <c r="D16" s="291"/>
      <c r="E16" s="291"/>
      <c r="F16" s="291"/>
      <c r="G16" s="291"/>
      <c r="H16" s="291"/>
    </row>
    <row r="17" spans="1:8" s="287" customFormat="1" x14ac:dyDescent="0.2">
      <c r="C17" s="288"/>
      <c r="D17" s="291"/>
      <c r="E17" s="291"/>
      <c r="F17" s="291"/>
      <c r="G17" s="291"/>
      <c r="H17" s="291"/>
    </row>
    <row r="18" spans="1:8" s="287" customFormat="1" x14ac:dyDescent="0.2">
      <c r="C18" s="288"/>
      <c r="D18" s="291"/>
      <c r="E18" s="291"/>
      <c r="F18" s="291"/>
      <c r="G18" s="291"/>
      <c r="H18" s="291"/>
    </row>
    <row r="19" spans="1:8" s="287" customFormat="1" x14ac:dyDescent="0.2">
      <c r="C19" s="288"/>
      <c r="D19" s="291"/>
      <c r="E19" s="291"/>
      <c r="F19" s="291"/>
      <c r="G19" s="291"/>
      <c r="H19" s="291"/>
    </row>
    <row r="20" spans="1:8" s="287" customFormat="1" x14ac:dyDescent="0.2">
      <c r="A20" s="287" t="s">
        <v>83</v>
      </c>
      <c r="C20" s="288">
        <v>5000</v>
      </c>
      <c r="F20" s="289">
        <f>C20*factor06</f>
        <v>6225.3454588402037</v>
      </c>
    </row>
    <row r="21" spans="1:8" s="287" customFormat="1" x14ac:dyDescent="0.2">
      <c r="A21" s="287" t="s">
        <v>84</v>
      </c>
      <c r="C21" s="288">
        <v>17000</v>
      </c>
      <c r="F21" s="289">
        <f>C21*factor06</f>
        <v>21166.174560056694</v>
      </c>
    </row>
    <row r="22" spans="1:8" s="287" customFormat="1" x14ac:dyDescent="0.2"/>
    <row r="23" spans="1:8" s="287" customFormat="1" x14ac:dyDescent="0.2">
      <c r="A23" s="286" t="s">
        <v>130</v>
      </c>
      <c r="B23" s="286"/>
      <c r="C23" s="287" t="s">
        <v>86</v>
      </c>
      <c r="D23" s="288"/>
      <c r="E23" s="288"/>
      <c r="F23" s="289">
        <f>F26*factor99</f>
        <v>8402.3890879146857</v>
      </c>
    </row>
    <row r="24" spans="1:8" s="287" customFormat="1" x14ac:dyDescent="0.2"/>
    <row r="25" spans="1:8" s="287" customFormat="1" x14ac:dyDescent="0.2">
      <c r="B25" s="292" t="s">
        <v>75</v>
      </c>
      <c r="C25" s="292" t="s">
        <v>76</v>
      </c>
      <c r="D25" s="292" t="s">
        <v>77</v>
      </c>
      <c r="E25" s="292" t="s">
        <v>78</v>
      </c>
      <c r="F25" s="292" t="s">
        <v>79</v>
      </c>
    </row>
    <row r="26" spans="1:8" s="287" customFormat="1" x14ac:dyDescent="0.2">
      <c r="B26" s="293">
        <v>50</v>
      </c>
      <c r="C26" s="294">
        <f>24*factor99</f>
        <v>34.497954731388056</v>
      </c>
      <c r="D26" s="293">
        <v>43</v>
      </c>
      <c r="E26" s="294">
        <f>80*factor99</f>
        <v>114.99318243796019</v>
      </c>
      <c r="F26" s="295">
        <f>B26*(C26+D26*E26/60)</f>
        <v>5845.4867739296433</v>
      </c>
    </row>
    <row r="27" spans="1:8" s="287" customFormat="1" x14ac:dyDescent="0.2">
      <c r="B27" s="296"/>
      <c r="C27" s="296"/>
      <c r="D27" s="296"/>
      <c r="E27" s="296"/>
      <c r="F27" s="296"/>
      <c r="G27" s="296"/>
    </row>
    <row r="28" spans="1:8" s="5" customFormat="1" x14ac:dyDescent="0.2"/>
  </sheetData>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6:AJ45"/>
  <sheetViews>
    <sheetView topLeftCell="I4" zoomScaleNormal="100" workbookViewId="0">
      <selection activeCell="C18" sqref="C18"/>
    </sheetView>
  </sheetViews>
  <sheetFormatPr defaultRowHeight="10.199999999999999" x14ac:dyDescent="0.2"/>
  <cols>
    <col min="1" max="1" width="17.42578125" customWidth="1"/>
    <col min="2" max="2" width="20.85546875" customWidth="1"/>
    <col min="3" max="3" width="21.85546875" customWidth="1"/>
    <col min="4" max="4" width="20.140625" customWidth="1"/>
    <col min="5" max="5" width="4.42578125" customWidth="1"/>
    <col min="6" max="7" width="22.42578125" customWidth="1"/>
    <col min="25" max="33" width="9.7109375" customWidth="1"/>
  </cols>
  <sheetData>
    <row r="6" spans="1:36" ht="10.95" customHeight="1" thickBot="1" x14ac:dyDescent="0.3">
      <c r="S6" s="264" t="s">
        <v>680</v>
      </c>
      <c r="T6" s="264"/>
      <c r="U6" s="264"/>
      <c r="V6" s="264"/>
      <c r="AF6" s="564" t="s">
        <v>762</v>
      </c>
      <c r="AG6" s="564"/>
    </row>
    <row r="7" spans="1:36" ht="12.6" customHeight="1" thickBot="1" x14ac:dyDescent="0.25">
      <c r="C7" s="264" t="s">
        <v>680</v>
      </c>
      <c r="F7" s="264" t="s">
        <v>762</v>
      </c>
      <c r="G7" s="264"/>
      <c r="J7" s="569" t="s">
        <v>699</v>
      </c>
      <c r="K7" s="572" t="s">
        <v>720</v>
      </c>
      <c r="L7" s="573"/>
      <c r="M7" s="573"/>
      <c r="N7" s="573"/>
      <c r="O7" s="573"/>
      <c r="P7" s="573"/>
      <c r="Q7" s="573"/>
      <c r="R7" s="573"/>
      <c r="S7" s="573"/>
      <c r="T7" s="573"/>
      <c r="U7" s="573"/>
      <c r="V7" s="574"/>
      <c r="X7" s="565" t="s">
        <v>699</v>
      </c>
      <c r="Y7" s="566" t="s">
        <v>720</v>
      </c>
      <c r="Z7" s="566"/>
      <c r="AA7" s="566"/>
      <c r="AB7" s="566"/>
      <c r="AC7" s="566"/>
      <c r="AD7" s="566"/>
      <c r="AE7" s="566"/>
      <c r="AF7" s="566"/>
      <c r="AG7" s="566"/>
      <c r="AH7" s="566"/>
      <c r="AI7" s="566"/>
      <c r="AJ7" s="566"/>
    </row>
    <row r="8" spans="1:36" ht="26.7" customHeight="1" thickBot="1" x14ac:dyDescent="0.25">
      <c r="A8" s="269"/>
      <c r="B8" s="269"/>
      <c r="C8" s="552" t="s">
        <v>725</v>
      </c>
      <c r="D8" s="552" t="s">
        <v>724</v>
      </c>
      <c r="F8" s="552" t="s">
        <v>725</v>
      </c>
      <c r="G8" s="552" t="s">
        <v>724</v>
      </c>
      <c r="J8" s="570"/>
      <c r="K8" s="572" t="s">
        <v>701</v>
      </c>
      <c r="L8" s="573"/>
      <c r="M8" s="574"/>
      <c r="N8" s="572" t="s">
        <v>702</v>
      </c>
      <c r="O8" s="573"/>
      <c r="P8" s="574"/>
      <c r="Q8" s="572" t="s">
        <v>721</v>
      </c>
      <c r="R8" s="573"/>
      <c r="S8" s="574"/>
      <c r="T8" s="572" t="s">
        <v>703</v>
      </c>
      <c r="U8" s="573"/>
      <c r="V8" s="574"/>
      <c r="X8" s="565"/>
      <c r="Y8" s="566" t="s">
        <v>701</v>
      </c>
      <c r="Z8" s="566"/>
      <c r="AA8" s="566"/>
      <c r="AB8" s="566" t="s">
        <v>702</v>
      </c>
      <c r="AC8" s="566"/>
      <c r="AD8" s="566"/>
      <c r="AE8" s="566" t="s">
        <v>721</v>
      </c>
      <c r="AF8" s="566"/>
      <c r="AG8" s="566"/>
      <c r="AH8" s="566" t="s">
        <v>703</v>
      </c>
      <c r="AI8" s="566"/>
      <c r="AJ8" s="566"/>
    </row>
    <row r="9" spans="1:36" ht="12.6" thickBot="1" x14ac:dyDescent="0.25">
      <c r="A9" s="270"/>
      <c r="B9" s="270"/>
      <c r="C9" s="578"/>
      <c r="D9" s="578"/>
      <c r="F9" s="578"/>
      <c r="G9" s="578"/>
      <c r="J9" s="571"/>
      <c r="K9" s="299" t="s">
        <v>763</v>
      </c>
      <c r="L9" s="299" t="s">
        <v>764</v>
      </c>
      <c r="M9" s="300" t="s">
        <v>765</v>
      </c>
      <c r="N9" s="299" t="s">
        <v>763</v>
      </c>
      <c r="O9" s="299" t="s">
        <v>764</v>
      </c>
      <c r="P9" s="300" t="s">
        <v>765</v>
      </c>
      <c r="Q9" s="299" t="s">
        <v>763</v>
      </c>
      <c r="R9" s="299" t="s">
        <v>764</v>
      </c>
      <c r="S9" s="300" t="s">
        <v>765</v>
      </c>
      <c r="T9" s="299" t="s">
        <v>763</v>
      </c>
      <c r="U9" s="299" t="s">
        <v>764</v>
      </c>
      <c r="V9" s="300" t="s">
        <v>765</v>
      </c>
      <c r="X9" s="565"/>
      <c r="Y9" s="299" t="s">
        <v>763</v>
      </c>
      <c r="Z9" s="299" t="s">
        <v>764</v>
      </c>
      <c r="AA9" s="300" t="s">
        <v>765</v>
      </c>
      <c r="AB9" s="299" t="s">
        <v>763</v>
      </c>
      <c r="AC9" s="299" t="s">
        <v>764</v>
      </c>
      <c r="AD9" s="300" t="s">
        <v>765</v>
      </c>
      <c r="AE9" s="299" t="s">
        <v>763</v>
      </c>
      <c r="AF9" s="299" t="s">
        <v>764</v>
      </c>
      <c r="AG9" s="300" t="s">
        <v>765</v>
      </c>
      <c r="AH9" s="299" t="s">
        <v>763</v>
      </c>
      <c r="AI9" s="299" t="s">
        <v>764</v>
      </c>
      <c r="AJ9" s="300" t="s">
        <v>765</v>
      </c>
    </row>
    <row r="10" spans="1:36" ht="13.8" thickBot="1" x14ac:dyDescent="0.25">
      <c r="A10" s="567" t="s">
        <v>693</v>
      </c>
      <c r="B10" s="253" t="s">
        <v>694</v>
      </c>
      <c r="C10" s="256">
        <v>140</v>
      </c>
      <c r="D10" s="256">
        <v>38</v>
      </c>
      <c r="F10" s="297">
        <f t="shared" ref="F10:G12" si="0">C10*factor16</f>
        <v>147.21995012468827</v>
      </c>
      <c r="G10" s="297">
        <f t="shared" si="0"/>
        <v>39.959700748129677</v>
      </c>
      <c r="J10" s="301" t="s">
        <v>711</v>
      </c>
      <c r="K10" s="302">
        <v>70</v>
      </c>
      <c r="L10" s="302">
        <v>441</v>
      </c>
      <c r="M10" s="303">
        <v>1604</v>
      </c>
      <c r="N10" s="302">
        <v>130</v>
      </c>
      <c r="O10" s="302">
        <v>611</v>
      </c>
      <c r="P10" s="303">
        <v>1945</v>
      </c>
      <c r="Q10" s="302">
        <v>241</v>
      </c>
      <c r="R10" s="302">
        <v>952</v>
      </c>
      <c r="S10" s="303">
        <v>2626</v>
      </c>
      <c r="T10" s="302">
        <v>221</v>
      </c>
      <c r="U10" s="302">
        <v>892</v>
      </c>
      <c r="V10" s="303">
        <v>2516</v>
      </c>
      <c r="X10" s="265" t="str">
        <f>J10</f>
        <v>A319</v>
      </c>
      <c r="Y10" s="266">
        <f t="shared" ref="Y10:Y24" si="1">K10*factor16</f>
        <v>73.609975062344134</v>
      </c>
      <c r="Z10" s="266">
        <f t="shared" ref="Z10:Z24" si="2">L10*factor16</f>
        <v>463.74284289276807</v>
      </c>
      <c r="AA10" s="266">
        <f t="shared" ref="AA10:AA24" si="3">M10*factor16</f>
        <v>1686.72</v>
      </c>
      <c r="AB10" s="266">
        <f t="shared" ref="AB10:AB24" si="4">N10*factor16</f>
        <v>136.70423940149627</v>
      </c>
      <c r="AC10" s="266">
        <f t="shared" ref="AC10:AC24" si="5">O10*factor16</f>
        <v>642.50992518703242</v>
      </c>
      <c r="AD10" s="266">
        <f t="shared" ref="AD10:AD24" si="6">P10*factor16</f>
        <v>2045.3057356608479</v>
      </c>
      <c r="AE10" s="266">
        <f t="shared" ref="AE10:AE24" si="7">Q10*factor16</f>
        <v>253.42862842892768</v>
      </c>
      <c r="AF10" s="266">
        <f t="shared" ref="AF10:AF24" si="8">R10*factor16</f>
        <v>1001.0956608478803</v>
      </c>
      <c r="AG10" s="266">
        <f t="shared" ref="AG10:AG24" si="9">S10*factor16</f>
        <v>2761.4256359102246</v>
      </c>
      <c r="AH10" s="266">
        <f t="shared" ref="AH10:AH24" si="10">T10*factor16</f>
        <v>232.39720698254365</v>
      </c>
      <c r="AI10" s="266">
        <f t="shared" ref="AI10:AI24" si="11">U10*factor16</f>
        <v>938.00139650872813</v>
      </c>
      <c r="AJ10" s="266">
        <f t="shared" ref="AJ10:AJ24" si="12">V10*factor16</f>
        <v>2645.7528179551123</v>
      </c>
    </row>
    <row r="11" spans="1:36" ht="13.8" thickBot="1" x14ac:dyDescent="0.25">
      <c r="A11" s="568"/>
      <c r="B11" s="254" t="s">
        <v>722</v>
      </c>
      <c r="C11" s="272">
        <v>154</v>
      </c>
      <c r="D11" s="272">
        <v>52</v>
      </c>
      <c r="F11" s="298">
        <f t="shared" si="0"/>
        <v>161.94194513715712</v>
      </c>
      <c r="G11" s="298">
        <f t="shared" si="0"/>
        <v>54.681695760598501</v>
      </c>
      <c r="J11" s="304" t="s">
        <v>712</v>
      </c>
      <c r="K11" s="305">
        <v>80</v>
      </c>
      <c r="L11" s="305">
        <v>501</v>
      </c>
      <c r="M11" s="306">
        <v>1824</v>
      </c>
      <c r="N11" s="305">
        <v>150</v>
      </c>
      <c r="O11" s="305">
        <v>712</v>
      </c>
      <c r="P11" s="306">
        <v>2255</v>
      </c>
      <c r="Q11" s="305">
        <v>251</v>
      </c>
      <c r="R11" s="307">
        <v>1012</v>
      </c>
      <c r="S11" s="306">
        <v>2857</v>
      </c>
      <c r="T11" s="305">
        <v>251</v>
      </c>
      <c r="U11" s="307">
        <v>1002</v>
      </c>
      <c r="V11" s="306">
        <v>2827</v>
      </c>
      <c r="X11" s="267" t="str">
        <f t="shared" ref="X11:X24" si="13">J11</f>
        <v>A320</v>
      </c>
      <c r="Y11" s="268">
        <f t="shared" si="1"/>
        <v>84.125685785536163</v>
      </c>
      <c r="Z11" s="268">
        <f t="shared" si="2"/>
        <v>526.83710723192019</v>
      </c>
      <c r="AA11" s="268">
        <f t="shared" si="3"/>
        <v>1918.0656359102245</v>
      </c>
      <c r="AB11" s="268">
        <f t="shared" si="4"/>
        <v>157.7356608478803</v>
      </c>
      <c r="AC11" s="268">
        <f t="shared" si="5"/>
        <v>748.71860349127178</v>
      </c>
      <c r="AD11" s="268">
        <f t="shared" si="6"/>
        <v>2371.2927680798007</v>
      </c>
      <c r="AE11" s="268">
        <f t="shared" si="7"/>
        <v>263.94433915211971</v>
      </c>
      <c r="AF11" s="268">
        <f t="shared" si="8"/>
        <v>1064.1899251870325</v>
      </c>
      <c r="AG11" s="268">
        <f t="shared" si="9"/>
        <v>3004.3385536159599</v>
      </c>
      <c r="AH11" s="268">
        <f t="shared" si="10"/>
        <v>263.94433915211971</v>
      </c>
      <c r="AI11" s="268">
        <f t="shared" si="11"/>
        <v>1053.6742144638404</v>
      </c>
      <c r="AJ11" s="268">
        <f t="shared" si="12"/>
        <v>2972.791421446384</v>
      </c>
    </row>
    <row r="12" spans="1:36" ht="13.8" thickBot="1" x14ac:dyDescent="0.25">
      <c r="A12" s="567" t="s">
        <v>696</v>
      </c>
      <c r="B12" s="233" t="s">
        <v>721</v>
      </c>
      <c r="C12" s="576">
        <v>179</v>
      </c>
      <c r="D12" s="576">
        <v>75</v>
      </c>
      <c r="F12" s="562">
        <f t="shared" si="0"/>
        <v>188.23122194513715</v>
      </c>
      <c r="G12" s="562">
        <f t="shared" si="0"/>
        <v>78.867830423940148</v>
      </c>
      <c r="J12" s="301" t="s">
        <v>713</v>
      </c>
      <c r="K12" s="302">
        <v>100</v>
      </c>
      <c r="L12" s="302">
        <v>581</v>
      </c>
      <c r="M12" s="303">
        <v>2165</v>
      </c>
      <c r="N12" s="302">
        <v>170</v>
      </c>
      <c r="O12" s="302">
        <v>782</v>
      </c>
      <c r="P12" s="303">
        <v>2566</v>
      </c>
      <c r="Q12" s="302">
        <v>301</v>
      </c>
      <c r="R12" s="308">
        <v>1193</v>
      </c>
      <c r="S12" s="303">
        <v>3388</v>
      </c>
      <c r="T12" s="302">
        <v>281</v>
      </c>
      <c r="U12" s="308">
        <v>1133</v>
      </c>
      <c r="V12" s="303">
        <v>3268</v>
      </c>
      <c r="X12" s="265" t="str">
        <f t="shared" si="13"/>
        <v>A321</v>
      </c>
      <c r="Y12" s="266">
        <f t="shared" si="1"/>
        <v>105.15710723192019</v>
      </c>
      <c r="Z12" s="266">
        <f t="shared" si="2"/>
        <v>610.96279301745631</v>
      </c>
      <c r="AA12" s="266">
        <f t="shared" si="3"/>
        <v>2276.6513715710721</v>
      </c>
      <c r="AB12" s="266">
        <f t="shared" si="4"/>
        <v>178.76708229426433</v>
      </c>
      <c r="AC12" s="266">
        <f t="shared" si="5"/>
        <v>822.32857855361601</v>
      </c>
      <c r="AD12" s="266">
        <f t="shared" si="6"/>
        <v>2698.3313715710724</v>
      </c>
      <c r="AE12" s="266">
        <f t="shared" si="7"/>
        <v>316.52289276807983</v>
      </c>
      <c r="AF12" s="266">
        <f t="shared" si="8"/>
        <v>1254.5242892768081</v>
      </c>
      <c r="AG12" s="266">
        <f t="shared" si="9"/>
        <v>3562.7227930174563</v>
      </c>
      <c r="AH12" s="266">
        <f t="shared" si="10"/>
        <v>295.49147132169577</v>
      </c>
      <c r="AI12" s="266">
        <f t="shared" si="11"/>
        <v>1191.4300249376558</v>
      </c>
      <c r="AJ12" s="266">
        <f t="shared" si="12"/>
        <v>3436.5342643391523</v>
      </c>
    </row>
    <row r="13" spans="1:36" ht="13.8" thickBot="1" x14ac:dyDescent="0.25">
      <c r="A13" s="575"/>
      <c r="B13" s="253" t="s">
        <v>723</v>
      </c>
      <c r="C13" s="577"/>
      <c r="D13" s="577"/>
      <c r="F13" s="563"/>
      <c r="G13" s="563">
        <f>D13*factor16</f>
        <v>0</v>
      </c>
      <c r="J13" s="304" t="s">
        <v>718</v>
      </c>
      <c r="K13" s="305">
        <v>180</v>
      </c>
      <c r="L13" s="305">
        <v>992</v>
      </c>
      <c r="M13" s="306">
        <v>3559</v>
      </c>
      <c r="N13" s="305">
        <v>341</v>
      </c>
      <c r="O13" s="307">
        <v>1453</v>
      </c>
      <c r="P13" s="306">
        <v>4481</v>
      </c>
      <c r="Q13" s="305">
        <v>571</v>
      </c>
      <c r="R13" s="307">
        <v>2145</v>
      </c>
      <c r="S13" s="306">
        <v>5874</v>
      </c>
      <c r="T13" s="305">
        <v>471</v>
      </c>
      <c r="U13" s="307">
        <v>1844</v>
      </c>
      <c r="V13" s="306">
        <v>5263</v>
      </c>
      <c r="X13" s="267" t="str">
        <f t="shared" si="13"/>
        <v>A332</v>
      </c>
      <c r="Y13" s="268">
        <f t="shared" si="1"/>
        <v>189.28279301745636</v>
      </c>
      <c r="Z13" s="268">
        <f t="shared" si="2"/>
        <v>1043.1585037406485</v>
      </c>
      <c r="AA13" s="268">
        <f t="shared" si="3"/>
        <v>3742.5414463840398</v>
      </c>
      <c r="AB13" s="268">
        <f t="shared" si="4"/>
        <v>358.58573566084789</v>
      </c>
      <c r="AC13" s="268">
        <f t="shared" si="5"/>
        <v>1527.9327680798006</v>
      </c>
      <c r="AD13" s="268">
        <f t="shared" si="6"/>
        <v>4712.0899750623439</v>
      </c>
      <c r="AE13" s="268">
        <f t="shared" si="7"/>
        <v>600.44708229426431</v>
      </c>
      <c r="AF13" s="268">
        <f t="shared" si="8"/>
        <v>2255.6199501246883</v>
      </c>
      <c r="AG13" s="268">
        <f t="shared" si="9"/>
        <v>6176.9284788029927</v>
      </c>
      <c r="AH13" s="268">
        <f t="shared" si="10"/>
        <v>495.28997506234413</v>
      </c>
      <c r="AI13" s="268">
        <f t="shared" si="11"/>
        <v>1939.0970573566085</v>
      </c>
      <c r="AJ13" s="268">
        <f t="shared" si="12"/>
        <v>5534.4185536159603</v>
      </c>
    </row>
    <row r="14" spans="1:36" ht="27" thickBot="1" x14ac:dyDescent="0.25">
      <c r="A14" s="568"/>
      <c r="B14" s="254" t="s">
        <v>698</v>
      </c>
      <c r="C14" s="272">
        <v>174</v>
      </c>
      <c r="D14" s="272">
        <v>71</v>
      </c>
      <c r="F14" s="298">
        <f>C14*factor16</f>
        <v>182.97336658354115</v>
      </c>
      <c r="G14" s="298">
        <f>D14*factor16</f>
        <v>74.66154613466334</v>
      </c>
      <c r="J14" s="301" t="s">
        <v>714</v>
      </c>
      <c r="K14" s="302">
        <v>30</v>
      </c>
      <c r="L14" s="302">
        <v>180</v>
      </c>
      <c r="M14" s="309">
        <v>611</v>
      </c>
      <c r="N14" s="302">
        <v>60</v>
      </c>
      <c r="O14" s="302">
        <v>261</v>
      </c>
      <c r="P14" s="309">
        <v>772</v>
      </c>
      <c r="Q14" s="302">
        <v>70</v>
      </c>
      <c r="R14" s="302">
        <v>291</v>
      </c>
      <c r="S14" s="309">
        <v>832</v>
      </c>
      <c r="T14" s="302">
        <v>70</v>
      </c>
      <c r="U14" s="302">
        <v>291</v>
      </c>
      <c r="V14" s="309">
        <v>832</v>
      </c>
      <c r="X14" s="265" t="str">
        <f t="shared" si="13"/>
        <v>AT43</v>
      </c>
      <c r="Y14" s="266">
        <f t="shared" si="1"/>
        <v>31.547132169576059</v>
      </c>
      <c r="Z14" s="266">
        <f t="shared" si="2"/>
        <v>189.28279301745636</v>
      </c>
      <c r="AA14" s="266">
        <f t="shared" si="3"/>
        <v>642.50992518703242</v>
      </c>
      <c r="AB14" s="266">
        <f t="shared" si="4"/>
        <v>63.094264339152119</v>
      </c>
      <c r="AC14" s="266">
        <f t="shared" si="5"/>
        <v>274.46004987531171</v>
      </c>
      <c r="AD14" s="266">
        <f t="shared" si="6"/>
        <v>811.8128678304239</v>
      </c>
      <c r="AE14" s="266">
        <f t="shared" si="7"/>
        <v>73.609975062344134</v>
      </c>
      <c r="AF14" s="266">
        <f t="shared" si="8"/>
        <v>306.00718204488777</v>
      </c>
      <c r="AG14" s="266">
        <f t="shared" si="9"/>
        <v>874.90713216957602</v>
      </c>
      <c r="AH14" s="266">
        <f t="shared" si="10"/>
        <v>73.609975062344134</v>
      </c>
      <c r="AI14" s="266">
        <f t="shared" si="11"/>
        <v>306.00718204488777</v>
      </c>
      <c r="AJ14" s="266">
        <f t="shared" si="12"/>
        <v>874.90713216957602</v>
      </c>
    </row>
    <row r="15" spans="1:36" ht="12" thickBot="1" x14ac:dyDescent="0.25">
      <c r="J15" s="304" t="s">
        <v>715</v>
      </c>
      <c r="K15" s="305">
        <v>40</v>
      </c>
      <c r="L15" s="305">
        <v>241</v>
      </c>
      <c r="M15" s="310">
        <v>822</v>
      </c>
      <c r="N15" s="305">
        <v>70</v>
      </c>
      <c r="O15" s="305">
        <v>331</v>
      </c>
      <c r="P15" s="306">
        <v>1012</v>
      </c>
      <c r="Q15" s="305">
        <v>90</v>
      </c>
      <c r="R15" s="305">
        <v>391</v>
      </c>
      <c r="S15" s="306">
        <v>1133</v>
      </c>
      <c r="T15" s="305">
        <v>90</v>
      </c>
      <c r="U15" s="305">
        <v>371</v>
      </c>
      <c r="V15" s="306">
        <v>1093</v>
      </c>
      <c r="X15" s="267" t="str">
        <f t="shared" si="13"/>
        <v>AT72</v>
      </c>
      <c r="Y15" s="268">
        <f t="shared" si="1"/>
        <v>42.062842892768082</v>
      </c>
      <c r="Z15" s="268">
        <f t="shared" si="2"/>
        <v>253.42862842892768</v>
      </c>
      <c r="AA15" s="268">
        <f t="shared" si="3"/>
        <v>864.39142144638402</v>
      </c>
      <c r="AB15" s="268">
        <f t="shared" si="4"/>
        <v>73.609975062344134</v>
      </c>
      <c r="AC15" s="268">
        <f t="shared" si="5"/>
        <v>348.07002493765589</v>
      </c>
      <c r="AD15" s="268">
        <f t="shared" si="6"/>
        <v>1064.1899251870325</v>
      </c>
      <c r="AE15" s="268">
        <f t="shared" si="7"/>
        <v>94.641396508728178</v>
      </c>
      <c r="AF15" s="268">
        <f t="shared" si="8"/>
        <v>411.16428927680801</v>
      </c>
      <c r="AG15" s="268">
        <f t="shared" si="9"/>
        <v>1191.4300249376558</v>
      </c>
      <c r="AH15" s="268">
        <f t="shared" si="10"/>
        <v>94.641396508728178</v>
      </c>
      <c r="AI15" s="268">
        <f t="shared" si="11"/>
        <v>390.13286783042395</v>
      </c>
      <c r="AJ15" s="268">
        <f t="shared" si="12"/>
        <v>1149.3671820448878</v>
      </c>
    </row>
    <row r="16" spans="1:36" ht="24.75" customHeight="1" thickBot="1" x14ac:dyDescent="0.25">
      <c r="J16" s="301" t="s">
        <v>704</v>
      </c>
      <c r="K16" s="302">
        <v>70</v>
      </c>
      <c r="L16" s="302">
        <v>431</v>
      </c>
      <c r="M16" s="303">
        <v>1554</v>
      </c>
      <c r="N16" s="302">
        <v>140</v>
      </c>
      <c r="O16" s="302">
        <v>632</v>
      </c>
      <c r="P16" s="303">
        <v>1955</v>
      </c>
      <c r="Q16" s="302">
        <v>251</v>
      </c>
      <c r="R16" s="302">
        <v>962</v>
      </c>
      <c r="S16" s="303">
        <v>2626</v>
      </c>
      <c r="T16" s="302">
        <v>211</v>
      </c>
      <c r="U16" s="302">
        <v>852</v>
      </c>
      <c r="V16" s="303">
        <v>2406</v>
      </c>
      <c r="X16" s="265" t="str">
        <f t="shared" si="13"/>
        <v>B733</v>
      </c>
      <c r="Y16" s="266">
        <f t="shared" si="1"/>
        <v>73.609975062344134</v>
      </c>
      <c r="Z16" s="266">
        <f t="shared" si="2"/>
        <v>453.22713216957607</v>
      </c>
      <c r="AA16" s="266">
        <f t="shared" si="3"/>
        <v>1634.1414463840399</v>
      </c>
      <c r="AB16" s="266">
        <f t="shared" si="4"/>
        <v>147.21995012468827</v>
      </c>
      <c r="AC16" s="266">
        <f t="shared" si="5"/>
        <v>664.59291770573566</v>
      </c>
      <c r="AD16" s="266">
        <f t="shared" si="6"/>
        <v>2055.82144638404</v>
      </c>
      <c r="AE16" s="266">
        <f t="shared" si="7"/>
        <v>263.94433915211971</v>
      </c>
      <c r="AF16" s="266">
        <f t="shared" si="8"/>
        <v>1011.6113715710724</v>
      </c>
      <c r="AG16" s="266">
        <f t="shared" si="9"/>
        <v>2761.4256359102246</v>
      </c>
      <c r="AH16" s="266">
        <f t="shared" si="10"/>
        <v>221.88149625935162</v>
      </c>
      <c r="AI16" s="266">
        <f t="shared" si="11"/>
        <v>895.93855361596013</v>
      </c>
      <c r="AJ16" s="266">
        <f t="shared" si="12"/>
        <v>2530.08</v>
      </c>
    </row>
    <row r="17" spans="1:36" ht="12" thickBot="1" x14ac:dyDescent="0.25">
      <c r="J17" s="304" t="s">
        <v>705</v>
      </c>
      <c r="K17" s="305">
        <v>80</v>
      </c>
      <c r="L17" s="305">
        <v>481</v>
      </c>
      <c r="M17" s="306">
        <v>1744</v>
      </c>
      <c r="N17" s="305">
        <v>150</v>
      </c>
      <c r="O17" s="305">
        <v>692</v>
      </c>
      <c r="P17" s="306">
        <v>2175</v>
      </c>
      <c r="Q17" s="305">
        <v>261</v>
      </c>
      <c r="R17" s="307">
        <v>1012</v>
      </c>
      <c r="S17" s="306">
        <v>2807</v>
      </c>
      <c r="T17" s="305">
        <v>251</v>
      </c>
      <c r="U17" s="305">
        <v>982</v>
      </c>
      <c r="V17" s="306">
        <v>2737</v>
      </c>
      <c r="X17" s="267" t="str">
        <f t="shared" si="13"/>
        <v>B734</v>
      </c>
      <c r="Y17" s="268">
        <f t="shared" si="1"/>
        <v>84.125685785536163</v>
      </c>
      <c r="Z17" s="268">
        <f t="shared" si="2"/>
        <v>505.80568578553618</v>
      </c>
      <c r="AA17" s="268">
        <f t="shared" si="3"/>
        <v>1833.9399501246883</v>
      </c>
      <c r="AB17" s="268">
        <f t="shared" si="4"/>
        <v>157.7356608478803</v>
      </c>
      <c r="AC17" s="268">
        <f t="shared" si="5"/>
        <v>727.68718204488778</v>
      </c>
      <c r="AD17" s="268">
        <f t="shared" si="6"/>
        <v>2287.1670822942642</v>
      </c>
      <c r="AE17" s="268">
        <f t="shared" si="7"/>
        <v>274.46004987531171</v>
      </c>
      <c r="AF17" s="268">
        <f t="shared" si="8"/>
        <v>1064.1899251870325</v>
      </c>
      <c r="AG17" s="268">
        <f t="shared" si="9"/>
        <v>2951.76</v>
      </c>
      <c r="AH17" s="268">
        <f t="shared" si="10"/>
        <v>263.94433915211971</v>
      </c>
      <c r="AI17" s="268">
        <f t="shared" si="11"/>
        <v>1032.6427930174564</v>
      </c>
      <c r="AJ17" s="268">
        <f t="shared" si="12"/>
        <v>2878.1500249376559</v>
      </c>
    </row>
    <row r="18" spans="1:36" ht="12" thickBot="1" x14ac:dyDescent="0.25">
      <c r="C18" s="264" t="s">
        <v>680</v>
      </c>
      <c r="F18" s="264" t="s">
        <v>762</v>
      </c>
      <c r="J18" s="301" t="s">
        <v>706</v>
      </c>
      <c r="K18" s="302">
        <v>70</v>
      </c>
      <c r="L18" s="302">
        <v>391</v>
      </c>
      <c r="M18" s="303">
        <v>1403</v>
      </c>
      <c r="N18" s="302">
        <v>140</v>
      </c>
      <c r="O18" s="302">
        <v>601</v>
      </c>
      <c r="P18" s="303">
        <v>1814</v>
      </c>
      <c r="Q18" s="302">
        <v>231</v>
      </c>
      <c r="R18" s="302">
        <v>882</v>
      </c>
      <c r="S18" s="303">
        <v>2376</v>
      </c>
      <c r="T18" s="302">
        <v>180</v>
      </c>
      <c r="U18" s="302">
        <v>742</v>
      </c>
      <c r="V18" s="303">
        <v>2095</v>
      </c>
      <c r="X18" s="265" t="str">
        <f t="shared" si="13"/>
        <v>B735</v>
      </c>
      <c r="Y18" s="266">
        <f t="shared" si="1"/>
        <v>73.609975062344134</v>
      </c>
      <c r="Z18" s="266">
        <f t="shared" si="2"/>
        <v>411.16428927680801</v>
      </c>
      <c r="AA18" s="266">
        <f t="shared" si="3"/>
        <v>1475.3542144638404</v>
      </c>
      <c r="AB18" s="266">
        <f t="shared" si="4"/>
        <v>147.21995012468827</v>
      </c>
      <c r="AC18" s="266">
        <f t="shared" si="5"/>
        <v>631.99421446384042</v>
      </c>
      <c r="AD18" s="266">
        <f t="shared" si="6"/>
        <v>1907.5499251870324</v>
      </c>
      <c r="AE18" s="266">
        <f t="shared" si="7"/>
        <v>242.91291770573565</v>
      </c>
      <c r="AF18" s="266">
        <f t="shared" si="8"/>
        <v>927.48568578553613</v>
      </c>
      <c r="AG18" s="266">
        <f t="shared" si="9"/>
        <v>2498.532867830424</v>
      </c>
      <c r="AH18" s="266">
        <f t="shared" si="10"/>
        <v>189.28279301745636</v>
      </c>
      <c r="AI18" s="266">
        <f t="shared" si="11"/>
        <v>780.26573566084789</v>
      </c>
      <c r="AJ18" s="266">
        <f t="shared" si="12"/>
        <v>2203.0413965087282</v>
      </c>
    </row>
    <row r="19" spans="1:36" ht="13.8" thickBot="1" x14ac:dyDescent="0.25">
      <c r="A19" s="71"/>
      <c r="B19" s="579" t="s">
        <v>692</v>
      </c>
      <c r="C19" s="580"/>
      <c r="F19" s="579" t="s">
        <v>692</v>
      </c>
      <c r="G19" s="580"/>
      <c r="J19" s="304" t="s">
        <v>707</v>
      </c>
      <c r="K19" s="305">
        <v>90</v>
      </c>
      <c r="L19" s="305">
        <v>541</v>
      </c>
      <c r="M19" s="306">
        <v>1945</v>
      </c>
      <c r="N19" s="305">
        <v>150</v>
      </c>
      <c r="O19" s="305">
        <v>722</v>
      </c>
      <c r="P19" s="306">
        <v>2316</v>
      </c>
      <c r="Q19" s="305">
        <v>271</v>
      </c>
      <c r="R19" s="307">
        <v>1083</v>
      </c>
      <c r="S19" s="306">
        <v>3037</v>
      </c>
      <c r="T19" s="305">
        <v>251</v>
      </c>
      <c r="U19" s="307">
        <v>1022</v>
      </c>
      <c r="V19" s="306">
        <v>2917</v>
      </c>
      <c r="X19" s="267" t="str">
        <f t="shared" si="13"/>
        <v>B738</v>
      </c>
      <c r="Y19" s="268">
        <f t="shared" si="1"/>
        <v>94.641396508728178</v>
      </c>
      <c r="Z19" s="268">
        <f t="shared" si="2"/>
        <v>568.8999501246883</v>
      </c>
      <c r="AA19" s="268">
        <f t="shared" si="3"/>
        <v>2045.3057356608479</v>
      </c>
      <c r="AB19" s="268">
        <f t="shared" si="4"/>
        <v>157.7356608478803</v>
      </c>
      <c r="AC19" s="268">
        <f t="shared" si="5"/>
        <v>759.23431421446389</v>
      </c>
      <c r="AD19" s="268">
        <f t="shared" si="6"/>
        <v>2435.4386034912718</v>
      </c>
      <c r="AE19" s="268">
        <f t="shared" si="7"/>
        <v>284.97576059850377</v>
      </c>
      <c r="AF19" s="268">
        <f t="shared" si="8"/>
        <v>1138.8514713216957</v>
      </c>
      <c r="AG19" s="268">
        <f t="shared" si="9"/>
        <v>3193.6213466334166</v>
      </c>
      <c r="AH19" s="268">
        <f t="shared" si="10"/>
        <v>263.94433915211971</v>
      </c>
      <c r="AI19" s="268">
        <f t="shared" si="11"/>
        <v>1074.7056359102244</v>
      </c>
      <c r="AJ19" s="268">
        <f t="shared" si="12"/>
        <v>3067.4328179551121</v>
      </c>
    </row>
    <row r="20" spans="1:36" ht="13.8" thickBot="1" x14ac:dyDescent="0.25">
      <c r="A20" s="567" t="s">
        <v>693</v>
      </c>
      <c r="B20" s="253" t="s">
        <v>694</v>
      </c>
      <c r="C20" s="253">
        <v>15</v>
      </c>
      <c r="F20" s="256">
        <f>C20*factor16</f>
        <v>15.77356608478803</v>
      </c>
      <c r="G20" s="271"/>
      <c r="J20" s="301" t="s">
        <v>710</v>
      </c>
      <c r="K20" s="302">
        <v>241</v>
      </c>
      <c r="L20" s="308">
        <v>1373</v>
      </c>
      <c r="M20" s="303">
        <v>5012</v>
      </c>
      <c r="N20" s="302">
        <v>461</v>
      </c>
      <c r="O20" s="308">
        <v>2025</v>
      </c>
      <c r="P20" s="303">
        <v>6315</v>
      </c>
      <c r="Q20" s="302">
        <v>932</v>
      </c>
      <c r="R20" s="308">
        <v>3448</v>
      </c>
      <c r="S20" s="303">
        <v>9162</v>
      </c>
      <c r="T20" s="302">
        <v>712</v>
      </c>
      <c r="U20" s="308">
        <v>2767</v>
      </c>
      <c r="V20" s="303">
        <v>7799</v>
      </c>
      <c r="X20" s="265" t="str">
        <f t="shared" si="13"/>
        <v>B744</v>
      </c>
      <c r="Y20" s="266">
        <f t="shared" si="1"/>
        <v>253.42862842892768</v>
      </c>
      <c r="Z20" s="266">
        <f t="shared" si="2"/>
        <v>1443.8070822942643</v>
      </c>
      <c r="AA20" s="266">
        <f t="shared" si="3"/>
        <v>5270.4742144638403</v>
      </c>
      <c r="AB20" s="266">
        <f t="shared" si="4"/>
        <v>484.77426433915213</v>
      </c>
      <c r="AC20" s="266">
        <f t="shared" si="5"/>
        <v>2129.4314214463839</v>
      </c>
      <c r="AD20" s="266">
        <f t="shared" si="6"/>
        <v>6640.6713216957605</v>
      </c>
      <c r="AE20" s="266">
        <f t="shared" si="7"/>
        <v>980.06423940149625</v>
      </c>
      <c r="AF20" s="266">
        <f t="shared" si="8"/>
        <v>3625.8170573566085</v>
      </c>
      <c r="AG20" s="266">
        <f t="shared" si="9"/>
        <v>9634.4941645885283</v>
      </c>
      <c r="AH20" s="266">
        <f t="shared" si="10"/>
        <v>748.71860349127178</v>
      </c>
      <c r="AI20" s="266">
        <f t="shared" si="11"/>
        <v>2909.6971571072318</v>
      </c>
      <c r="AJ20" s="266">
        <f t="shared" si="12"/>
        <v>8201.2027930174572</v>
      </c>
    </row>
    <row r="21" spans="1:36" ht="13.8" thickBot="1" x14ac:dyDescent="0.25">
      <c r="A21" s="568"/>
      <c r="B21" s="254" t="s">
        <v>695</v>
      </c>
      <c r="C21" s="254">
        <v>39.4</v>
      </c>
      <c r="F21" s="272">
        <f>C21*factor16</f>
        <v>41.431900249376554</v>
      </c>
      <c r="G21" s="271"/>
      <c r="J21" s="304" t="s">
        <v>708</v>
      </c>
      <c r="K21" s="305">
        <v>100</v>
      </c>
      <c r="L21" s="305">
        <v>621</v>
      </c>
      <c r="M21" s="306">
        <v>2295</v>
      </c>
      <c r="N21" s="305">
        <v>200</v>
      </c>
      <c r="O21" s="305">
        <v>922</v>
      </c>
      <c r="P21" s="306">
        <v>2907</v>
      </c>
      <c r="Q21" s="305">
        <v>341</v>
      </c>
      <c r="R21" s="307">
        <v>1343</v>
      </c>
      <c r="S21" s="306">
        <v>3739</v>
      </c>
      <c r="T21" s="305">
        <v>291</v>
      </c>
      <c r="U21" s="307">
        <v>1183</v>
      </c>
      <c r="V21" s="306">
        <v>3428</v>
      </c>
      <c r="X21" s="267" t="str">
        <f t="shared" si="13"/>
        <v>B752</v>
      </c>
      <c r="Y21" s="268">
        <f t="shared" si="1"/>
        <v>105.15710723192019</v>
      </c>
      <c r="Z21" s="268">
        <f t="shared" si="2"/>
        <v>653.02563591022442</v>
      </c>
      <c r="AA21" s="268">
        <f t="shared" si="3"/>
        <v>2413.3556109725687</v>
      </c>
      <c r="AB21" s="268">
        <f t="shared" si="4"/>
        <v>210.31421446384039</v>
      </c>
      <c r="AC21" s="268">
        <f t="shared" si="5"/>
        <v>969.54852867830425</v>
      </c>
      <c r="AD21" s="268">
        <f t="shared" si="6"/>
        <v>3056.91710723192</v>
      </c>
      <c r="AE21" s="268">
        <f t="shared" si="7"/>
        <v>358.58573566084789</v>
      </c>
      <c r="AF21" s="268">
        <f t="shared" si="8"/>
        <v>1412.2599501246882</v>
      </c>
      <c r="AG21" s="268">
        <f t="shared" si="9"/>
        <v>3931.8242394014965</v>
      </c>
      <c r="AH21" s="268">
        <f t="shared" si="10"/>
        <v>306.00718204488777</v>
      </c>
      <c r="AI21" s="268">
        <f t="shared" si="11"/>
        <v>1244.008578553616</v>
      </c>
      <c r="AJ21" s="268">
        <f t="shared" si="12"/>
        <v>3604.7856359102243</v>
      </c>
    </row>
    <row r="22" spans="1:36" ht="27" thickBot="1" x14ac:dyDescent="0.25">
      <c r="A22" s="255" t="s">
        <v>696</v>
      </c>
      <c r="B22" s="253" t="s">
        <v>697</v>
      </c>
      <c r="C22" s="253">
        <v>70</v>
      </c>
      <c r="F22" s="256">
        <f>C22*factor16</f>
        <v>73.609975062344134</v>
      </c>
      <c r="G22" s="271"/>
      <c r="J22" s="301" t="s">
        <v>709</v>
      </c>
      <c r="K22" s="302">
        <v>170</v>
      </c>
      <c r="L22" s="302">
        <v>902</v>
      </c>
      <c r="M22" s="303">
        <v>3208</v>
      </c>
      <c r="N22" s="302">
        <v>291</v>
      </c>
      <c r="O22" s="308">
        <v>1263</v>
      </c>
      <c r="P22" s="303">
        <v>3929</v>
      </c>
      <c r="Q22" s="302">
        <v>511</v>
      </c>
      <c r="R22" s="308">
        <v>1925</v>
      </c>
      <c r="S22" s="303">
        <v>5253</v>
      </c>
      <c r="T22" s="302">
        <v>481</v>
      </c>
      <c r="U22" s="308">
        <v>1834</v>
      </c>
      <c r="V22" s="303">
        <v>5082</v>
      </c>
      <c r="X22" s="265" t="str">
        <f t="shared" si="13"/>
        <v>B763</v>
      </c>
      <c r="Y22" s="266">
        <f t="shared" si="1"/>
        <v>178.76708229426433</v>
      </c>
      <c r="Z22" s="266">
        <f t="shared" si="2"/>
        <v>948.51710723192025</v>
      </c>
      <c r="AA22" s="266">
        <f t="shared" si="3"/>
        <v>3373.44</v>
      </c>
      <c r="AB22" s="266">
        <f t="shared" si="4"/>
        <v>306.00718204488777</v>
      </c>
      <c r="AC22" s="266">
        <f t="shared" si="5"/>
        <v>1328.1342643391522</v>
      </c>
      <c r="AD22" s="266">
        <f t="shared" si="6"/>
        <v>4131.6227431421448</v>
      </c>
      <c r="AE22" s="266">
        <f t="shared" si="7"/>
        <v>537.35281795511219</v>
      </c>
      <c r="AF22" s="266">
        <f t="shared" si="8"/>
        <v>2024.2743142144639</v>
      </c>
      <c r="AG22" s="266">
        <f t="shared" si="9"/>
        <v>5523.9028428927677</v>
      </c>
      <c r="AH22" s="266">
        <f t="shared" si="10"/>
        <v>505.80568578553618</v>
      </c>
      <c r="AI22" s="266">
        <f t="shared" si="11"/>
        <v>1928.5813466334164</v>
      </c>
      <c r="AJ22" s="266">
        <f t="shared" si="12"/>
        <v>5344.0841895261847</v>
      </c>
    </row>
    <row r="23" spans="1:36" ht="12" thickBot="1" x14ac:dyDescent="0.25">
      <c r="J23" s="304" t="s">
        <v>716</v>
      </c>
      <c r="K23" s="305">
        <v>40</v>
      </c>
      <c r="L23" s="305">
        <v>251</v>
      </c>
      <c r="M23" s="310">
        <v>892</v>
      </c>
      <c r="N23" s="305">
        <v>70</v>
      </c>
      <c r="O23" s="305">
        <v>341</v>
      </c>
      <c r="P23" s="306">
        <v>1073</v>
      </c>
      <c r="Q23" s="305">
        <v>110</v>
      </c>
      <c r="R23" s="305">
        <v>451</v>
      </c>
      <c r="S23" s="306">
        <v>1283</v>
      </c>
      <c r="T23" s="305">
        <v>110</v>
      </c>
      <c r="U23" s="305">
        <v>451</v>
      </c>
      <c r="V23" s="306">
        <v>1283</v>
      </c>
      <c r="X23" s="267" t="str">
        <f t="shared" si="13"/>
        <v>DH8D</v>
      </c>
      <c r="Y23" s="268">
        <f t="shared" si="1"/>
        <v>42.062842892768082</v>
      </c>
      <c r="Z23" s="268">
        <f t="shared" si="2"/>
        <v>263.94433915211971</v>
      </c>
      <c r="AA23" s="268">
        <f t="shared" si="3"/>
        <v>938.00139650872813</v>
      </c>
      <c r="AB23" s="268">
        <f t="shared" si="4"/>
        <v>73.609975062344134</v>
      </c>
      <c r="AC23" s="268">
        <f t="shared" si="5"/>
        <v>358.58573566084789</v>
      </c>
      <c r="AD23" s="268">
        <f t="shared" si="6"/>
        <v>1128.3357605985038</v>
      </c>
      <c r="AE23" s="268">
        <f t="shared" si="7"/>
        <v>115.67281795511222</v>
      </c>
      <c r="AF23" s="268">
        <f t="shared" si="8"/>
        <v>474.25855361596012</v>
      </c>
      <c r="AG23" s="268">
        <f t="shared" si="9"/>
        <v>1349.1656857855362</v>
      </c>
      <c r="AH23" s="268">
        <f t="shared" si="10"/>
        <v>115.67281795511222</v>
      </c>
      <c r="AI23" s="268">
        <f t="shared" si="11"/>
        <v>474.25855361596012</v>
      </c>
      <c r="AJ23" s="268">
        <f t="shared" si="12"/>
        <v>1349.1656857855362</v>
      </c>
    </row>
    <row r="24" spans="1:36" ht="12" thickBot="1" x14ac:dyDescent="0.25">
      <c r="J24" s="311" t="s">
        <v>717</v>
      </c>
      <c r="K24" s="312">
        <v>60</v>
      </c>
      <c r="L24" s="312">
        <v>321</v>
      </c>
      <c r="M24" s="313">
        <v>1153</v>
      </c>
      <c r="N24" s="312">
        <v>110</v>
      </c>
      <c r="O24" s="312">
        <v>471</v>
      </c>
      <c r="P24" s="313">
        <v>1453</v>
      </c>
      <c r="Q24" s="312">
        <v>180</v>
      </c>
      <c r="R24" s="312">
        <v>702</v>
      </c>
      <c r="S24" s="313">
        <v>1915</v>
      </c>
      <c r="T24" s="312">
        <v>180</v>
      </c>
      <c r="U24" s="312">
        <v>692</v>
      </c>
      <c r="V24" s="313">
        <v>1885</v>
      </c>
      <c r="X24" s="265" t="str">
        <f t="shared" si="13"/>
        <v>E190</v>
      </c>
      <c r="Y24" s="266">
        <f t="shared" si="1"/>
        <v>63.094264339152119</v>
      </c>
      <c r="Z24" s="266">
        <f t="shared" si="2"/>
        <v>337.55431421446383</v>
      </c>
      <c r="AA24" s="266">
        <f t="shared" si="3"/>
        <v>1212.4614463840398</v>
      </c>
      <c r="AB24" s="266">
        <f t="shared" si="4"/>
        <v>115.67281795511222</v>
      </c>
      <c r="AC24" s="266">
        <f t="shared" si="5"/>
        <v>495.28997506234413</v>
      </c>
      <c r="AD24" s="266">
        <f t="shared" si="6"/>
        <v>1527.9327680798006</v>
      </c>
      <c r="AE24" s="266">
        <f t="shared" si="7"/>
        <v>189.28279301745636</v>
      </c>
      <c r="AF24" s="266">
        <f t="shared" si="8"/>
        <v>738.20289276807978</v>
      </c>
      <c r="AG24" s="266">
        <f t="shared" si="9"/>
        <v>2013.7586034912717</v>
      </c>
      <c r="AH24" s="266">
        <f t="shared" si="10"/>
        <v>189.28279301745636</v>
      </c>
      <c r="AI24" s="266">
        <f t="shared" si="11"/>
        <v>727.68718204488778</v>
      </c>
      <c r="AJ24" s="266">
        <f t="shared" si="12"/>
        <v>1982.2114713216959</v>
      </c>
    </row>
    <row r="28" spans="1:36" ht="14.4" thickBot="1" x14ac:dyDescent="0.3">
      <c r="J28" s="195" t="s">
        <v>680</v>
      </c>
      <c r="X28" s="586" t="s">
        <v>762</v>
      </c>
      <c r="Y28" s="586"/>
    </row>
    <row r="29" spans="1:36" ht="12.6" customHeight="1" thickBot="1" x14ac:dyDescent="0.25">
      <c r="J29" s="581" t="s">
        <v>699</v>
      </c>
      <c r="K29" s="583" t="s">
        <v>766</v>
      </c>
      <c r="L29" s="584"/>
      <c r="M29" s="585"/>
      <c r="X29" s="587" t="s">
        <v>699</v>
      </c>
      <c r="Y29" s="589" t="s">
        <v>700</v>
      </c>
      <c r="Z29" s="590"/>
      <c r="AA29" s="591"/>
    </row>
    <row r="30" spans="1:36" ht="12.6" thickBot="1" x14ac:dyDescent="0.25">
      <c r="J30" s="582"/>
      <c r="K30" s="314" t="s">
        <v>701</v>
      </c>
      <c r="L30" s="315" t="s">
        <v>702</v>
      </c>
      <c r="M30" s="316" t="s">
        <v>767</v>
      </c>
      <c r="X30" s="588"/>
      <c r="Y30" s="257" t="s">
        <v>701</v>
      </c>
      <c r="Z30" s="260" t="s">
        <v>702</v>
      </c>
      <c r="AA30" s="261" t="s">
        <v>719</v>
      </c>
    </row>
    <row r="31" spans="1:36" ht="12" thickBot="1" x14ac:dyDescent="0.25">
      <c r="J31" s="317" t="s">
        <v>711</v>
      </c>
      <c r="K31" s="302">
        <v>812</v>
      </c>
      <c r="L31" s="308">
        <v>1925</v>
      </c>
      <c r="M31" s="308">
        <v>3428</v>
      </c>
      <c r="X31" s="258" t="str">
        <f>J31</f>
        <v>A319</v>
      </c>
      <c r="Y31" s="266">
        <f t="shared" ref="Y31:Y45" si="14">K31*factor16</f>
        <v>853.87571072319201</v>
      </c>
      <c r="Z31" s="266">
        <f t="shared" ref="Z31:Z45" si="15">L31*factor16</f>
        <v>2024.2743142144639</v>
      </c>
      <c r="AA31" s="266">
        <f t="shared" ref="AA31:AA45" si="16">M31*factor16</f>
        <v>3604.7856359102243</v>
      </c>
    </row>
    <row r="32" spans="1:36" ht="12" thickBot="1" x14ac:dyDescent="0.25">
      <c r="J32" s="318" t="s">
        <v>712</v>
      </c>
      <c r="K32" s="305">
        <v>902</v>
      </c>
      <c r="L32" s="307">
        <v>2165</v>
      </c>
      <c r="M32" s="307">
        <v>3498</v>
      </c>
      <c r="X32" s="259" t="s">
        <v>705</v>
      </c>
      <c r="Y32" s="262">
        <f t="shared" si="14"/>
        <v>948.51710723192025</v>
      </c>
      <c r="Z32" s="262">
        <f t="shared" si="15"/>
        <v>2276.6513715710721</v>
      </c>
      <c r="AA32" s="262">
        <f t="shared" si="16"/>
        <v>3678.3956109725686</v>
      </c>
    </row>
    <row r="33" spans="10:27" ht="12" thickBot="1" x14ac:dyDescent="0.25">
      <c r="J33" s="317" t="s">
        <v>713</v>
      </c>
      <c r="K33" s="308">
        <v>1053</v>
      </c>
      <c r="L33" s="308">
        <v>2326</v>
      </c>
      <c r="M33" s="308">
        <v>4140</v>
      </c>
      <c r="X33" s="258" t="s">
        <v>706</v>
      </c>
      <c r="Y33" s="263">
        <f t="shared" si="14"/>
        <v>1107.3043391521196</v>
      </c>
      <c r="Z33" s="263">
        <f t="shared" si="15"/>
        <v>2445.9543142144639</v>
      </c>
      <c r="AA33" s="263">
        <f t="shared" si="16"/>
        <v>4353.5042394014963</v>
      </c>
    </row>
    <row r="34" spans="10:27" ht="12" thickBot="1" x14ac:dyDescent="0.25">
      <c r="J34" s="318" t="s">
        <v>718</v>
      </c>
      <c r="K34" s="307">
        <v>1724</v>
      </c>
      <c r="L34" s="307">
        <v>4250</v>
      </c>
      <c r="M34" s="307">
        <v>7237</v>
      </c>
      <c r="X34" s="259" t="s">
        <v>707</v>
      </c>
      <c r="Y34" s="262">
        <f t="shared" si="14"/>
        <v>1812.9085286783043</v>
      </c>
      <c r="Z34" s="262">
        <f t="shared" si="15"/>
        <v>4469.1770573566082</v>
      </c>
      <c r="AA34" s="262">
        <f t="shared" si="16"/>
        <v>7610.2198503740647</v>
      </c>
    </row>
    <row r="35" spans="10:27" ht="12" thickBot="1" x14ac:dyDescent="0.25">
      <c r="J35" s="317" t="s">
        <v>714</v>
      </c>
      <c r="K35" s="302">
        <v>231</v>
      </c>
      <c r="L35" s="302">
        <v>752</v>
      </c>
      <c r="M35" s="302">
        <v>902</v>
      </c>
      <c r="X35" s="258" t="s">
        <v>708</v>
      </c>
      <c r="Y35" s="263">
        <f t="shared" si="14"/>
        <v>242.91291770573565</v>
      </c>
      <c r="Z35" s="263">
        <f t="shared" si="15"/>
        <v>790.7814463840399</v>
      </c>
      <c r="AA35" s="263">
        <f t="shared" si="16"/>
        <v>948.51710723192025</v>
      </c>
    </row>
    <row r="36" spans="10:27" ht="12" thickBot="1" x14ac:dyDescent="0.25">
      <c r="J36" s="318" t="s">
        <v>715</v>
      </c>
      <c r="K36" s="305">
        <v>341</v>
      </c>
      <c r="L36" s="305">
        <v>982</v>
      </c>
      <c r="M36" s="307">
        <v>1273</v>
      </c>
      <c r="X36" s="259" t="s">
        <v>709</v>
      </c>
      <c r="Y36" s="262">
        <f t="shared" si="14"/>
        <v>358.58573566084789</v>
      </c>
      <c r="Z36" s="262">
        <f t="shared" si="15"/>
        <v>1032.6427930174564</v>
      </c>
      <c r="AA36" s="262">
        <f t="shared" si="16"/>
        <v>1338.6499750623441</v>
      </c>
    </row>
    <row r="37" spans="10:27" ht="12" thickBot="1" x14ac:dyDescent="0.25">
      <c r="J37" s="317" t="s">
        <v>704</v>
      </c>
      <c r="K37" s="302">
        <v>541</v>
      </c>
      <c r="L37" s="308">
        <v>1714</v>
      </c>
      <c r="M37" s="308">
        <v>3208</v>
      </c>
      <c r="X37" s="258" t="s">
        <v>710</v>
      </c>
      <c r="Y37" s="263">
        <f t="shared" si="14"/>
        <v>568.8999501246883</v>
      </c>
      <c r="Z37" s="263">
        <f t="shared" si="15"/>
        <v>1802.3928179551122</v>
      </c>
      <c r="AA37" s="263">
        <f t="shared" si="16"/>
        <v>3373.44</v>
      </c>
    </row>
    <row r="38" spans="10:27" ht="12" thickBot="1" x14ac:dyDescent="0.25">
      <c r="J38" s="318" t="s">
        <v>705</v>
      </c>
      <c r="K38" s="305">
        <v>601</v>
      </c>
      <c r="L38" s="307">
        <v>1874</v>
      </c>
      <c r="M38" s="307">
        <v>3298</v>
      </c>
      <c r="X38" s="259" t="s">
        <v>711</v>
      </c>
      <c r="Y38" s="262">
        <f t="shared" si="14"/>
        <v>631.99421446384042</v>
      </c>
      <c r="Z38" s="262">
        <f t="shared" si="15"/>
        <v>1970.6441895261846</v>
      </c>
      <c r="AA38" s="262">
        <f t="shared" si="16"/>
        <v>3468.0813965087282</v>
      </c>
    </row>
    <row r="39" spans="10:27" ht="12" thickBot="1" x14ac:dyDescent="0.25">
      <c r="J39" s="317" t="s">
        <v>706</v>
      </c>
      <c r="K39" s="302">
        <v>511</v>
      </c>
      <c r="L39" s="308">
        <v>1714</v>
      </c>
      <c r="M39" s="308">
        <v>2957</v>
      </c>
      <c r="X39" s="258" t="s">
        <v>712</v>
      </c>
      <c r="Y39" s="263">
        <f t="shared" si="14"/>
        <v>537.35281795511219</v>
      </c>
      <c r="Z39" s="263">
        <f t="shared" si="15"/>
        <v>1802.3928179551122</v>
      </c>
      <c r="AA39" s="263">
        <f t="shared" si="16"/>
        <v>3109.4956608478801</v>
      </c>
    </row>
    <row r="40" spans="10:27" ht="12" thickBot="1" x14ac:dyDescent="0.25">
      <c r="J40" s="318" t="s">
        <v>707</v>
      </c>
      <c r="K40" s="307">
        <v>1012</v>
      </c>
      <c r="L40" s="307">
        <v>2075</v>
      </c>
      <c r="M40" s="307">
        <v>3659</v>
      </c>
      <c r="X40" s="259" t="s">
        <v>713</v>
      </c>
      <c r="Y40" s="262">
        <f t="shared" si="14"/>
        <v>1064.1899251870325</v>
      </c>
      <c r="Z40" s="262">
        <f t="shared" si="15"/>
        <v>2182.009975062344</v>
      </c>
      <c r="AA40" s="262">
        <f t="shared" si="16"/>
        <v>3847.69855361596</v>
      </c>
    </row>
    <row r="41" spans="10:27" ht="12" thickBot="1" x14ac:dyDescent="0.25">
      <c r="J41" s="317" t="s">
        <v>710</v>
      </c>
      <c r="K41" s="308">
        <v>1504</v>
      </c>
      <c r="L41" s="308">
        <v>4972</v>
      </c>
      <c r="M41" s="308">
        <v>10976</v>
      </c>
      <c r="X41" s="258" t="s">
        <v>714</v>
      </c>
      <c r="Y41" s="263">
        <f t="shared" si="14"/>
        <v>1581.5628927680798</v>
      </c>
      <c r="Z41" s="263">
        <f t="shared" si="15"/>
        <v>5228.4113715710719</v>
      </c>
      <c r="AA41" s="263">
        <f t="shared" si="16"/>
        <v>11542.044089775562</v>
      </c>
    </row>
    <row r="42" spans="10:27" ht="12" thickBot="1" x14ac:dyDescent="0.25">
      <c r="J42" s="318" t="s">
        <v>708</v>
      </c>
      <c r="K42" s="305">
        <v>722</v>
      </c>
      <c r="L42" s="307">
        <v>2396</v>
      </c>
      <c r="M42" s="307">
        <v>4220</v>
      </c>
      <c r="X42" s="259" t="s">
        <v>715</v>
      </c>
      <c r="Y42" s="262">
        <f t="shared" si="14"/>
        <v>759.23431421446389</v>
      </c>
      <c r="Z42" s="262">
        <f t="shared" si="15"/>
        <v>2519.5642892768078</v>
      </c>
      <c r="AA42" s="262">
        <f t="shared" si="16"/>
        <v>4437.6299251870323</v>
      </c>
    </row>
    <row r="43" spans="10:27" ht="12" thickBot="1" x14ac:dyDescent="0.25">
      <c r="J43" s="317" t="s">
        <v>709</v>
      </c>
      <c r="K43" s="308">
        <v>1313</v>
      </c>
      <c r="L43" s="308">
        <v>3388</v>
      </c>
      <c r="M43" s="308">
        <v>6245</v>
      </c>
      <c r="X43" s="258" t="s">
        <v>716</v>
      </c>
      <c r="Y43" s="263">
        <f t="shared" si="14"/>
        <v>1380.7128179551123</v>
      </c>
      <c r="Z43" s="263">
        <f t="shared" si="15"/>
        <v>3562.7227930174563</v>
      </c>
      <c r="AA43" s="263">
        <f t="shared" si="16"/>
        <v>6567.0613466334162</v>
      </c>
    </row>
    <row r="44" spans="10:27" ht="12" thickBot="1" x14ac:dyDescent="0.25">
      <c r="J44" s="318" t="s">
        <v>716</v>
      </c>
      <c r="K44" s="305">
        <v>541</v>
      </c>
      <c r="L44" s="307">
        <v>1143</v>
      </c>
      <c r="M44" s="307">
        <v>1634</v>
      </c>
      <c r="X44" s="259" t="s">
        <v>717</v>
      </c>
      <c r="Y44" s="262">
        <f t="shared" si="14"/>
        <v>568.8999501246883</v>
      </c>
      <c r="Z44" s="262">
        <f t="shared" si="15"/>
        <v>1201.945735660848</v>
      </c>
      <c r="AA44" s="262">
        <f t="shared" si="16"/>
        <v>1718.2671321695761</v>
      </c>
    </row>
    <row r="45" spans="10:27" ht="12" thickBot="1" x14ac:dyDescent="0.25">
      <c r="J45" s="317" t="s">
        <v>717</v>
      </c>
      <c r="K45" s="302">
        <v>772</v>
      </c>
      <c r="L45" s="308">
        <v>1724</v>
      </c>
      <c r="M45" s="308">
        <v>2757</v>
      </c>
      <c r="X45" s="258" t="s">
        <v>718</v>
      </c>
      <c r="Y45" s="263">
        <f t="shared" si="14"/>
        <v>811.8128678304239</v>
      </c>
      <c r="Z45" s="263">
        <f t="shared" si="15"/>
        <v>1812.9085286783043</v>
      </c>
      <c r="AA45" s="263">
        <f t="shared" si="16"/>
        <v>2899.1814463840401</v>
      </c>
    </row>
  </sheetData>
  <mergeCells count="31">
    <mergeCell ref="B19:C19"/>
    <mergeCell ref="F19:G19"/>
    <mergeCell ref="J29:J30"/>
    <mergeCell ref="K29:M29"/>
    <mergeCell ref="X28:Y28"/>
    <mergeCell ref="X29:X30"/>
    <mergeCell ref="Y29:AA29"/>
    <mergeCell ref="A20:A21"/>
    <mergeCell ref="J7:J9"/>
    <mergeCell ref="K8:M8"/>
    <mergeCell ref="K7:V7"/>
    <mergeCell ref="N8:P8"/>
    <mergeCell ref="Q8:S8"/>
    <mergeCell ref="T8:V8"/>
    <mergeCell ref="A10:A11"/>
    <mergeCell ref="A12:A14"/>
    <mergeCell ref="C12:C13"/>
    <mergeCell ref="D12:D13"/>
    <mergeCell ref="C8:C9"/>
    <mergeCell ref="D8:D9"/>
    <mergeCell ref="F8:F9"/>
    <mergeCell ref="G8:G9"/>
    <mergeCell ref="F12:F13"/>
    <mergeCell ref="G12:G13"/>
    <mergeCell ref="AF6:AG6"/>
    <mergeCell ref="X7:X9"/>
    <mergeCell ref="Y8:AA8"/>
    <mergeCell ref="Y7:AJ7"/>
    <mergeCell ref="AB8:AD8"/>
    <mergeCell ref="AE8:AG8"/>
    <mergeCell ref="AH8:AJ8"/>
  </mergeCells>
  <phoneticPr fontId="7"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3"/>
  <sheetViews>
    <sheetView topLeftCell="A61" workbookViewId="0">
      <selection activeCell="F85" sqref="F85"/>
    </sheetView>
  </sheetViews>
  <sheetFormatPr defaultColWidth="9.140625" defaultRowHeight="10.199999999999999" x14ac:dyDescent="0.2"/>
  <cols>
    <col min="1" max="1" width="28.85546875" style="500" bestFit="1" customWidth="1"/>
    <col min="2" max="2" width="31.7109375" style="500" customWidth="1"/>
    <col min="3" max="3" width="21.28515625" style="500" customWidth="1"/>
    <col min="4" max="5" width="12.42578125" style="500" customWidth="1"/>
    <col min="6" max="7" width="15" style="500" bestFit="1" customWidth="1"/>
    <col min="8" max="9" width="30.28515625" style="500" customWidth="1"/>
    <col min="10" max="16384" width="9.140625" style="500"/>
  </cols>
  <sheetData>
    <row r="1" spans="1:7" s="472" customFormat="1" ht="13.8" x14ac:dyDescent="0.2">
      <c r="A1" s="471" t="s">
        <v>45</v>
      </c>
    </row>
    <row r="2" spans="1:7" s="472" customFormat="1" ht="13.8" x14ac:dyDescent="0.2">
      <c r="A2" s="471"/>
    </row>
    <row r="3" spans="1:7" s="472" customFormat="1" x14ac:dyDescent="0.2">
      <c r="A3" s="473" t="s">
        <v>49</v>
      </c>
      <c r="B3" s="472" t="s">
        <v>52</v>
      </c>
      <c r="F3" s="474">
        <f>F22</f>
        <v>49.605184074175078</v>
      </c>
      <c r="G3" s="474">
        <f>G22</f>
        <v>63.533733296973004</v>
      </c>
    </row>
    <row r="4" spans="1:7" s="472" customFormat="1" x14ac:dyDescent="0.2"/>
    <row r="5" spans="1:7" s="472" customFormat="1" x14ac:dyDescent="0.2">
      <c r="A5" s="473" t="s">
        <v>175</v>
      </c>
    </row>
    <row r="6" spans="1:7" s="472" customFormat="1" x14ac:dyDescent="0.2">
      <c r="A6" s="475"/>
      <c r="B6" s="476" t="s">
        <v>54</v>
      </c>
      <c r="C6" s="476" t="s">
        <v>55</v>
      </c>
    </row>
    <row r="7" spans="1:7" s="472" customFormat="1" x14ac:dyDescent="0.2">
      <c r="A7" s="477" t="s">
        <v>56</v>
      </c>
      <c r="B7" s="478">
        <v>23.8</v>
      </c>
      <c r="C7" s="478">
        <v>30.1</v>
      </c>
      <c r="F7" s="474">
        <f>B7*factor99</f>
        <v>34.210471775293158</v>
      </c>
      <c r="G7" s="474">
        <f>C7*factor99</f>
        <v>43.266184892282524</v>
      </c>
    </row>
    <row r="8" spans="1:7" s="472" customFormat="1" x14ac:dyDescent="0.2">
      <c r="A8" s="477" t="s">
        <v>57</v>
      </c>
      <c r="B8" s="478">
        <v>2.7</v>
      </c>
      <c r="C8" s="478">
        <v>10.199999999999999</v>
      </c>
      <c r="F8" s="474">
        <f>B8*factor99</f>
        <v>3.8810199072811566</v>
      </c>
      <c r="G8" s="474">
        <f>C8*factor99</f>
        <v>14.661630760839923</v>
      </c>
    </row>
    <row r="9" spans="1:7" s="472" customFormat="1" x14ac:dyDescent="0.2"/>
    <row r="10" spans="1:7" s="472" customFormat="1" x14ac:dyDescent="0.2">
      <c r="A10" s="473" t="s">
        <v>58</v>
      </c>
    </row>
    <row r="11" spans="1:7" s="472" customFormat="1" x14ac:dyDescent="0.2">
      <c r="A11" s="479"/>
      <c r="B11" s="476" t="s">
        <v>59</v>
      </c>
      <c r="C11" s="476" t="s">
        <v>60</v>
      </c>
    </row>
    <row r="12" spans="1:7" s="472" customFormat="1" x14ac:dyDescent="0.2">
      <c r="A12" s="477" t="s">
        <v>61</v>
      </c>
      <c r="B12" s="478">
        <v>17.899999999999999</v>
      </c>
      <c r="C12" s="478">
        <v>24.2</v>
      </c>
      <c r="F12" s="474" t="e">
        <f t="shared" ref="F12:G14" si="0">F27*dollar</f>
        <v>#REF!</v>
      </c>
      <c r="G12" s="474" t="e">
        <f t="shared" si="0"/>
        <v>#REF!</v>
      </c>
    </row>
    <row r="13" spans="1:7" s="472" customFormat="1" x14ac:dyDescent="0.2">
      <c r="A13" s="477" t="s">
        <v>50</v>
      </c>
      <c r="B13" s="478">
        <v>31.7</v>
      </c>
      <c r="C13" s="478">
        <v>34.5</v>
      </c>
      <c r="F13" s="474" t="e">
        <f t="shared" si="0"/>
        <v>#REF!</v>
      </c>
      <c r="G13" s="474" t="e">
        <f t="shared" si="0"/>
        <v>#REF!</v>
      </c>
    </row>
    <row r="14" spans="1:7" s="472" customFormat="1" x14ac:dyDescent="0.2">
      <c r="A14" s="477" t="s">
        <v>62</v>
      </c>
      <c r="B14" s="478">
        <v>24.6</v>
      </c>
      <c r="C14" s="478">
        <v>28.6</v>
      </c>
      <c r="F14" s="474" t="e">
        <f t="shared" si="0"/>
        <v>#REF!</v>
      </c>
      <c r="G14" s="474" t="e">
        <f t="shared" si="0"/>
        <v>#REF!</v>
      </c>
    </row>
    <row r="15" spans="1:7" s="472" customFormat="1" x14ac:dyDescent="0.2"/>
    <row r="16" spans="1:7" s="472" customFormat="1" x14ac:dyDescent="0.2">
      <c r="A16" s="473" t="s">
        <v>51</v>
      </c>
    </row>
    <row r="17" spans="1:10" s="472" customFormat="1" x14ac:dyDescent="0.2">
      <c r="A17" s="475"/>
      <c r="B17" s="476" t="s">
        <v>63</v>
      </c>
      <c r="C17" s="476"/>
    </row>
    <row r="18" spans="1:10" s="472" customFormat="1" x14ac:dyDescent="0.2">
      <c r="A18" s="480" t="s">
        <v>64</v>
      </c>
      <c r="B18" s="481" t="s">
        <v>65</v>
      </c>
      <c r="C18" s="481" t="s">
        <v>66</v>
      </c>
    </row>
    <row r="19" spans="1:10" s="472" customFormat="1" x14ac:dyDescent="0.2">
      <c r="A19" s="477" t="s">
        <v>50</v>
      </c>
      <c r="B19" s="482">
        <v>47</v>
      </c>
      <c r="C19" s="482">
        <v>63</v>
      </c>
      <c r="E19" s="483">
        <v>0.49</v>
      </c>
      <c r="F19" s="484">
        <f t="shared" ref="F19:G21" si="1">B19*factor99</f>
        <v>67.558494682301614</v>
      </c>
      <c r="G19" s="484">
        <f t="shared" si="1"/>
        <v>90.557131169893651</v>
      </c>
    </row>
    <row r="20" spans="1:10" s="472" customFormat="1" x14ac:dyDescent="0.2">
      <c r="A20" s="477" t="s">
        <v>67</v>
      </c>
      <c r="B20" s="482">
        <v>28</v>
      </c>
      <c r="C20" s="482">
        <v>33</v>
      </c>
      <c r="E20" s="483">
        <v>0.16</v>
      </c>
      <c r="F20" s="484">
        <f t="shared" si="1"/>
        <v>40.247613853286069</v>
      </c>
      <c r="G20" s="484">
        <f t="shared" si="1"/>
        <v>47.43468775565858</v>
      </c>
    </row>
    <row r="21" spans="1:10" s="472" customFormat="1" x14ac:dyDescent="0.2">
      <c r="A21" s="477" t="s">
        <v>68</v>
      </c>
      <c r="B21" s="482">
        <v>20</v>
      </c>
      <c r="C21" s="482">
        <v>23</v>
      </c>
      <c r="E21" s="483">
        <v>0.35</v>
      </c>
      <c r="F21" s="484">
        <f t="shared" si="1"/>
        <v>28.748295609490047</v>
      </c>
      <c r="G21" s="484">
        <f t="shared" si="1"/>
        <v>33.060539950913551</v>
      </c>
    </row>
    <row r="22" spans="1:10" s="472" customFormat="1" x14ac:dyDescent="0.2">
      <c r="A22" s="480" t="s">
        <v>69</v>
      </c>
      <c r="B22" s="485">
        <v>34</v>
      </c>
      <c r="C22" s="485">
        <v>44</v>
      </c>
      <c r="F22" s="484">
        <f t="array" ref="F22">SUM(E19:E21*F19:F21)</f>
        <v>49.605184074175078</v>
      </c>
      <c r="G22" s="484">
        <f t="array" ref="G22">SUM(E19:E21*G19:G21)</f>
        <v>63.533733296973004</v>
      </c>
    </row>
    <row r="23" spans="1:10" s="472" customFormat="1" x14ac:dyDescent="0.2">
      <c r="A23" s="486"/>
      <c r="B23" s="486"/>
      <c r="C23" s="486"/>
      <c r="F23" s="487"/>
      <c r="G23" s="487"/>
    </row>
    <row r="24" spans="1:10" s="472" customFormat="1" x14ac:dyDescent="0.2">
      <c r="A24" s="473" t="s">
        <v>176</v>
      </c>
      <c r="B24" s="488"/>
      <c r="C24" s="488"/>
      <c r="F24" s="487"/>
      <c r="G24" s="487"/>
    </row>
    <row r="25" spans="1:10" s="472" customFormat="1" x14ac:dyDescent="0.2">
      <c r="A25" s="489"/>
      <c r="B25" s="490" t="s">
        <v>59</v>
      </c>
      <c r="C25" s="490" t="s">
        <v>60</v>
      </c>
    </row>
    <row r="26" spans="1:10" s="472" customFormat="1" x14ac:dyDescent="0.2">
      <c r="A26" s="491"/>
      <c r="B26" s="492" t="s">
        <v>70</v>
      </c>
      <c r="C26" s="492" t="s">
        <v>70</v>
      </c>
    </row>
    <row r="27" spans="1:10" s="472" customFormat="1" x14ac:dyDescent="0.2">
      <c r="A27" s="477" t="s">
        <v>61</v>
      </c>
      <c r="B27" s="493">
        <v>19.5</v>
      </c>
      <c r="C27" s="493">
        <v>26.3</v>
      </c>
      <c r="F27" s="494">
        <f t="shared" ref="F27:G29" si="2">B27*factor98</f>
        <v>28.362168874172184</v>
      </c>
      <c r="G27" s="494">
        <f t="shared" si="2"/>
        <v>38.252566225165566</v>
      </c>
      <c r="I27" s="495" t="e">
        <f>F27/#REF!</f>
        <v>#REF!</v>
      </c>
      <c r="J27" s="495" t="e">
        <f>G27/#REF!</f>
        <v>#REF!</v>
      </c>
    </row>
    <row r="28" spans="1:10" s="472" customFormat="1" x14ac:dyDescent="0.2">
      <c r="A28" s="477" t="s">
        <v>50</v>
      </c>
      <c r="B28" s="493">
        <v>34.5</v>
      </c>
      <c r="C28" s="493">
        <v>37.5</v>
      </c>
      <c r="F28" s="494">
        <f t="shared" si="2"/>
        <v>50.179221854304636</v>
      </c>
      <c r="G28" s="494">
        <f t="shared" si="2"/>
        <v>54.542632450331126</v>
      </c>
      <c r="I28" s="495" t="e">
        <f>F28/#REF!</f>
        <v>#REF!</v>
      </c>
      <c r="J28" s="495" t="e">
        <f>G28/#REF!</f>
        <v>#REF!</v>
      </c>
    </row>
    <row r="29" spans="1:10" s="472" customFormat="1" x14ac:dyDescent="0.2">
      <c r="A29" s="477" t="s">
        <v>62</v>
      </c>
      <c r="B29" s="493">
        <v>26.7</v>
      </c>
      <c r="C29" s="496">
        <v>31.1</v>
      </c>
      <c r="F29" s="494">
        <f t="shared" si="2"/>
        <v>38.83435430463576</v>
      </c>
      <c r="G29" s="494">
        <f t="shared" si="2"/>
        <v>45.234023178807945</v>
      </c>
      <c r="I29" s="495" t="e">
        <f>F29/#REF!</f>
        <v>#REF!</v>
      </c>
      <c r="J29" s="495" t="e">
        <f>G29/#REF!</f>
        <v>#REF!</v>
      </c>
    </row>
    <row r="30" spans="1:10" s="497" customFormat="1" x14ac:dyDescent="0.2"/>
    <row r="31" spans="1:10" s="497" customFormat="1" x14ac:dyDescent="0.2"/>
    <row r="32" spans="1:10" s="499" customFormat="1" ht="7.5" customHeight="1" x14ac:dyDescent="0.2">
      <c r="A32" s="498" t="s">
        <v>768</v>
      </c>
    </row>
    <row r="34" spans="1:7" x14ac:dyDescent="0.2">
      <c r="B34" s="501"/>
      <c r="C34" s="501"/>
    </row>
    <row r="35" spans="1:7" x14ac:dyDescent="0.2">
      <c r="A35" s="502" t="s">
        <v>49</v>
      </c>
      <c r="B35" s="472"/>
      <c r="C35" s="472"/>
      <c r="D35" s="472"/>
      <c r="E35" s="472"/>
      <c r="F35" s="472"/>
      <c r="G35" s="472"/>
    </row>
    <row r="36" spans="1:7" ht="14.4" thickBot="1" x14ac:dyDescent="0.25">
      <c r="A36" s="503">
        <v>2002</v>
      </c>
      <c r="B36" s="472"/>
      <c r="C36" s="472"/>
      <c r="D36" s="472"/>
      <c r="E36" s="472"/>
      <c r="F36" s="472"/>
      <c r="G36" s="503">
        <v>2019</v>
      </c>
    </row>
    <row r="37" spans="1:7" ht="27" customHeight="1" thickBot="1" x14ac:dyDescent="0.25">
      <c r="A37" s="71" t="s">
        <v>681</v>
      </c>
      <c r="B37" s="579" t="s">
        <v>59</v>
      </c>
      <c r="C37" s="580"/>
      <c r="D37" s="472"/>
      <c r="F37" s="592" t="s">
        <v>59</v>
      </c>
      <c r="G37" s="592"/>
    </row>
    <row r="38" spans="1:7" ht="13.2" x14ac:dyDescent="0.2">
      <c r="A38" s="96" t="s">
        <v>682</v>
      </c>
      <c r="B38" s="233">
        <v>10.61</v>
      </c>
      <c r="C38" s="233">
        <v>16.25</v>
      </c>
      <c r="D38" s="472"/>
      <c r="F38" s="235">
        <f>B38*factor02</f>
        <v>14.347180605438687</v>
      </c>
      <c r="G38" s="236">
        <f>C38*factor02</f>
        <v>21.973768599281684</v>
      </c>
    </row>
    <row r="39" spans="1:7" ht="13.8" thickBot="1" x14ac:dyDescent="0.25">
      <c r="A39" s="234" t="s">
        <v>50</v>
      </c>
      <c r="B39" s="594">
        <v>32.799999999999997</v>
      </c>
      <c r="C39" s="595"/>
      <c r="D39" s="472"/>
      <c r="F39" s="593">
        <f>B39*factor02</f>
        <v>44.353206772703949</v>
      </c>
      <c r="G39" s="593"/>
    </row>
    <row r="40" spans="1:7" x14ac:dyDescent="0.2">
      <c r="A40" s="96"/>
      <c r="B40" s="96"/>
      <c r="C40" s="472"/>
      <c r="D40" s="472"/>
      <c r="E40" s="472"/>
      <c r="F40" s="472"/>
      <c r="G40" s="472"/>
    </row>
    <row r="41" spans="1:7" x14ac:dyDescent="0.2">
      <c r="A41" s="96"/>
      <c r="B41" s="96"/>
      <c r="C41" s="472"/>
      <c r="D41" s="472"/>
      <c r="E41" s="472"/>
      <c r="F41" s="472"/>
      <c r="G41" s="472"/>
    </row>
    <row r="42" spans="1:7" ht="13.2" x14ac:dyDescent="0.2">
      <c r="A42" s="504"/>
      <c r="B42" s="96"/>
      <c r="C42" s="472"/>
      <c r="D42" s="472"/>
      <c r="E42" s="472"/>
      <c r="F42" s="472"/>
      <c r="G42" s="472"/>
    </row>
    <row r="43" spans="1:7" x14ac:dyDescent="0.2">
      <c r="B43" s="501"/>
      <c r="C43" s="501"/>
    </row>
    <row r="44" spans="1:7" x14ac:dyDescent="0.2">
      <c r="A44" s="502" t="s">
        <v>58</v>
      </c>
      <c r="B44" s="501"/>
      <c r="C44" s="501"/>
    </row>
    <row r="45" spans="1:7" ht="10.8" thickBot="1" x14ac:dyDescent="0.25">
      <c r="A45" s="505" t="s">
        <v>852</v>
      </c>
      <c r="B45" s="501"/>
      <c r="C45" s="505" t="s">
        <v>853</v>
      </c>
    </row>
    <row r="46" spans="1:7" ht="13.8" thickBot="1" x14ac:dyDescent="0.25">
      <c r="A46" s="227" t="s">
        <v>676</v>
      </c>
      <c r="B46" s="196" t="s">
        <v>59</v>
      </c>
      <c r="C46" s="196" t="s">
        <v>59</v>
      </c>
    </row>
    <row r="47" spans="1:7" ht="13.8" thickBot="1" x14ac:dyDescent="0.25">
      <c r="A47" s="64" t="s">
        <v>677</v>
      </c>
      <c r="B47" s="228">
        <v>55.5</v>
      </c>
      <c r="C47" s="256">
        <f>B47*FR_factor15</f>
        <v>58.247250000000008</v>
      </c>
    </row>
    <row r="48" spans="1:7" ht="13.8" thickBot="1" x14ac:dyDescent="0.25">
      <c r="A48" s="255" t="s">
        <v>851</v>
      </c>
      <c r="B48" s="228">
        <v>56.8</v>
      </c>
      <c r="C48" s="256">
        <f>B48*FR_factor15</f>
        <v>59.611600000000003</v>
      </c>
    </row>
    <row r="49" spans="1:5" ht="13.8" thickBot="1" x14ac:dyDescent="0.25">
      <c r="A49" s="72" t="s">
        <v>50</v>
      </c>
      <c r="B49" s="229">
        <v>77.5</v>
      </c>
      <c r="C49" s="256">
        <f>B49*FR_factor15</f>
        <v>81.336250000000007</v>
      </c>
    </row>
    <row r="50" spans="1:5" ht="13.8" thickBot="1" x14ac:dyDescent="0.25">
      <c r="A50" s="64" t="s">
        <v>62</v>
      </c>
      <c r="B50" s="228">
        <v>57.7</v>
      </c>
      <c r="C50" s="256">
        <f>B50*FR_factor15</f>
        <v>60.556150000000009</v>
      </c>
    </row>
    <row r="51" spans="1:5" x14ac:dyDescent="0.2">
      <c r="A51" s="96"/>
      <c r="B51" s="96"/>
      <c r="C51" s="501"/>
    </row>
    <row r="52" spans="1:5" x14ac:dyDescent="0.2">
      <c r="A52" s="96"/>
      <c r="B52" s="96"/>
      <c r="C52" s="501"/>
    </row>
    <row r="53" spans="1:5" ht="13.2" x14ac:dyDescent="0.2">
      <c r="A53" s="277" t="s">
        <v>857</v>
      </c>
      <c r="B53" s="501"/>
      <c r="C53" s="501"/>
    </row>
    <row r="54" spans="1:5" ht="13.2" x14ac:dyDescent="0.2">
      <c r="A54" s="506" t="s">
        <v>858</v>
      </c>
      <c r="C54" s="501"/>
    </row>
    <row r="55" spans="1:5" x14ac:dyDescent="0.2">
      <c r="C55" s="501"/>
    </row>
    <row r="56" spans="1:5" ht="10.8" thickBot="1" x14ac:dyDescent="0.25">
      <c r="A56" s="505"/>
      <c r="B56" s="505" t="s">
        <v>859</v>
      </c>
      <c r="C56" s="528" t="s">
        <v>860</v>
      </c>
      <c r="D56" s="528">
        <v>2019</v>
      </c>
      <c r="E56" s="96"/>
    </row>
    <row r="57" spans="1:5" ht="27" thickBot="1" x14ac:dyDescent="0.25">
      <c r="A57" s="71" t="s">
        <v>681</v>
      </c>
      <c r="B57" s="196" t="s">
        <v>59</v>
      </c>
      <c r="C57" s="196" t="s">
        <v>59</v>
      </c>
      <c r="D57" s="196" t="s">
        <v>59</v>
      </c>
      <c r="E57" s="96"/>
    </row>
    <row r="58" spans="1:5" ht="13.2" x14ac:dyDescent="0.2">
      <c r="A58" s="464" t="s">
        <v>854</v>
      </c>
      <c r="B58" s="465">
        <v>6.6</v>
      </c>
      <c r="C58" s="526">
        <f>B58*UK_factor14</f>
        <v>7.1147999999999998</v>
      </c>
      <c r="D58" s="526">
        <f>C58/ExR_GBP_19</f>
        <v>8.1055401756724414</v>
      </c>
      <c r="E58" s="96"/>
    </row>
    <row r="59" spans="1:5" ht="13.2" x14ac:dyDescent="0.2">
      <c r="A59" s="444" t="s">
        <v>855</v>
      </c>
      <c r="B59" s="233">
        <v>49.2</v>
      </c>
      <c r="C59" s="527">
        <f>B59*UK_factor14</f>
        <v>53.037600000000005</v>
      </c>
      <c r="D59" s="527">
        <f>C59/ExR_GBP_19</f>
        <v>60.423117673194575</v>
      </c>
      <c r="E59" s="96"/>
    </row>
    <row r="60" spans="1:5" ht="13.8" thickBot="1" x14ac:dyDescent="0.25">
      <c r="A60" s="234" t="s">
        <v>856</v>
      </c>
      <c r="B60" s="254">
        <v>46.8</v>
      </c>
      <c r="C60" s="272">
        <f>B60*UK_factor14</f>
        <v>50.450400000000002</v>
      </c>
      <c r="D60" s="272">
        <f>C60/ExR_GBP_19</f>
        <v>57.47564851840459</v>
      </c>
      <c r="E60" s="96"/>
    </row>
    <row r="61" spans="1:5" ht="19.2" customHeight="1" x14ac:dyDescent="0.2">
      <c r="A61" s="96"/>
      <c r="B61" s="96"/>
      <c r="C61" s="96"/>
      <c r="D61" s="96"/>
      <c r="E61" s="96"/>
    </row>
    <row r="62" spans="1:5" ht="19.2" customHeight="1" x14ac:dyDescent="0.2">
      <c r="A62" s="96"/>
      <c r="B62" s="96"/>
      <c r="C62" s="96"/>
      <c r="D62" s="96"/>
      <c r="E62" s="96"/>
    </row>
    <row r="63" spans="1:5" ht="19.2" customHeight="1" x14ac:dyDescent="0.2">
      <c r="A63" s="277" t="s">
        <v>862</v>
      </c>
      <c r="B63" s="96"/>
      <c r="C63" s="96"/>
      <c r="D63" s="96"/>
      <c r="E63" s="96"/>
    </row>
    <row r="64" spans="1:5" ht="19.2" customHeight="1" x14ac:dyDescent="0.2">
      <c r="A64" s="506" t="s">
        <v>863</v>
      </c>
      <c r="B64" s="96"/>
      <c r="C64" s="96"/>
      <c r="D64" s="96"/>
      <c r="E64" s="96"/>
    </row>
    <row r="65" spans="1:9" ht="10.5" customHeight="1" x14ac:dyDescent="0.2">
      <c r="A65" s="506"/>
      <c r="B65" s="96"/>
      <c r="C65" s="96"/>
      <c r="D65" s="96"/>
      <c r="E65" s="96"/>
    </row>
    <row r="66" spans="1:9" ht="10.5" customHeight="1" thickBot="1" x14ac:dyDescent="0.25">
      <c r="A66" s="96"/>
      <c r="B66" s="529">
        <v>2010</v>
      </c>
      <c r="C66" s="529">
        <v>2019</v>
      </c>
      <c r="D66" s="96"/>
      <c r="E66" s="96"/>
    </row>
    <row r="67" spans="1:9" ht="17.7" customHeight="1" thickBot="1" x14ac:dyDescent="0.25">
      <c r="A67" s="466" t="s">
        <v>2</v>
      </c>
      <c r="B67" s="467" t="s">
        <v>861</v>
      </c>
      <c r="C67" s="467" t="s">
        <v>861</v>
      </c>
      <c r="D67" s="96"/>
      <c r="E67" s="96"/>
    </row>
    <row r="68" spans="1:9" ht="17.7" customHeight="1" x14ac:dyDescent="0.2">
      <c r="A68" s="468" t="s">
        <v>10</v>
      </c>
      <c r="B68" s="233">
        <v>49.3</v>
      </c>
      <c r="C68" s="527">
        <f>B68*factor10</f>
        <v>56.192085630879021</v>
      </c>
      <c r="D68" s="96"/>
      <c r="E68" s="96"/>
    </row>
    <row r="69" spans="1:9" ht="17.7" customHeight="1" x14ac:dyDescent="0.2">
      <c r="A69" s="469" t="s">
        <v>11</v>
      </c>
      <c r="B69" s="465">
        <v>54.6</v>
      </c>
      <c r="C69" s="526">
        <f>B69*factor10</f>
        <v>62.233019785922814</v>
      </c>
      <c r="D69" s="96"/>
      <c r="E69" s="96"/>
    </row>
    <row r="70" spans="1:9" ht="17.7" customHeight="1" x14ac:dyDescent="0.2">
      <c r="A70" s="468" t="s">
        <v>14</v>
      </c>
      <c r="B70" s="233">
        <v>45.8</v>
      </c>
      <c r="C70" s="527">
        <f>B70*factor10</f>
        <v>52.202789490755762</v>
      </c>
      <c r="D70" s="96"/>
      <c r="E70" s="96"/>
    </row>
    <row r="71" spans="1:9" ht="17.7" customHeight="1" x14ac:dyDescent="0.2">
      <c r="A71" s="469" t="s">
        <v>20</v>
      </c>
      <c r="B71" s="465">
        <v>45.7</v>
      </c>
      <c r="C71" s="526">
        <f>B71*factor10</f>
        <v>52.088809601037958</v>
      </c>
      <c r="D71" s="96"/>
      <c r="E71" s="96"/>
    </row>
    <row r="72" spans="1:9" ht="17.7" customHeight="1" thickBot="1" x14ac:dyDescent="0.25">
      <c r="A72" s="470" t="s">
        <v>433</v>
      </c>
      <c r="B72" s="253">
        <v>51.8</v>
      </c>
      <c r="C72" s="256">
        <f>B72*factor10</f>
        <v>59.041582873824204</v>
      </c>
      <c r="D72" s="96"/>
      <c r="E72" s="96"/>
    </row>
    <row r="73" spans="1:9" x14ac:dyDescent="0.2">
      <c r="A73" s="96"/>
      <c r="B73" s="96"/>
      <c r="C73" s="96"/>
      <c r="D73" s="96"/>
      <c r="E73" s="96"/>
    </row>
    <row r="75" spans="1:9" x14ac:dyDescent="0.2">
      <c r="A75" s="500" t="s">
        <v>675</v>
      </c>
      <c r="B75" s="501"/>
      <c r="C75" s="501"/>
    </row>
    <row r="76" spans="1:9" x14ac:dyDescent="0.2">
      <c r="B76" s="501"/>
      <c r="C76" s="501"/>
    </row>
    <row r="77" spans="1:9" ht="12" customHeight="1" x14ac:dyDescent="0.2">
      <c r="A77" s="500" t="s">
        <v>256</v>
      </c>
      <c r="B77" s="501"/>
      <c r="C77" s="501"/>
    </row>
    <row r="78" spans="1:9" x14ac:dyDescent="0.2">
      <c r="A78" s="508" t="s">
        <v>864</v>
      </c>
      <c r="C78" s="500" t="s">
        <v>663</v>
      </c>
      <c r="D78" s="505" t="s">
        <v>878</v>
      </c>
    </row>
    <row r="79" spans="1:9" ht="10.8" thickBot="1" x14ac:dyDescent="0.25">
      <c r="C79" s="507"/>
      <c r="D79" s="500">
        <f>'basic assumptions'!H9</f>
        <v>1.1069</v>
      </c>
    </row>
    <row r="80" spans="1:9" ht="27" thickBot="1" x14ac:dyDescent="0.25">
      <c r="A80" s="197" t="s">
        <v>865</v>
      </c>
      <c r="B80" s="198" t="s">
        <v>59</v>
      </c>
      <c r="C80" s="198" t="s">
        <v>59</v>
      </c>
      <c r="D80" s="198" t="s">
        <v>59</v>
      </c>
      <c r="H80" s="197" t="s">
        <v>255</v>
      </c>
      <c r="I80" s="198" t="s">
        <v>59</v>
      </c>
    </row>
    <row r="81" spans="1:9" ht="13.2" x14ac:dyDescent="0.2">
      <c r="A81" s="199" t="s">
        <v>61</v>
      </c>
      <c r="B81" s="200">
        <v>36.1</v>
      </c>
      <c r="C81" s="530">
        <f>B81*US_factor15</f>
        <v>38.939053738761352</v>
      </c>
      <c r="D81" s="530">
        <f>C81*'basic assumptions'!$H$12</f>
        <v>43.592270660543335</v>
      </c>
      <c r="H81" s="199" t="s">
        <v>61</v>
      </c>
      <c r="I81" s="224" t="s">
        <v>672</v>
      </c>
    </row>
    <row r="82" spans="1:9" ht="13.2" x14ac:dyDescent="0.2">
      <c r="A82" s="201" t="s">
        <v>50</v>
      </c>
      <c r="B82" s="202">
        <v>63.2</v>
      </c>
      <c r="C82" s="531">
        <f>B82*US_factor15</f>
        <v>68.170310146529573</v>
      </c>
      <c r="D82" s="531">
        <f>C82*'basic assumptions'!$H$12</f>
        <v>76.316662209039848</v>
      </c>
      <c r="H82" s="201" t="s">
        <v>50</v>
      </c>
      <c r="I82" s="225" t="s">
        <v>673</v>
      </c>
    </row>
    <row r="83" spans="1:9" ht="13.8" thickBot="1" x14ac:dyDescent="0.25">
      <c r="A83" s="203" t="s">
        <v>62</v>
      </c>
      <c r="B83" s="204">
        <v>47.1</v>
      </c>
      <c r="C83" s="532">
        <f>B83*US_factor15</f>
        <v>50.804139365530744</v>
      </c>
      <c r="D83" s="532">
        <f>C83*'basic assumptions'!$H$12</f>
        <v>56.875234019711662</v>
      </c>
      <c r="H83" s="203" t="s">
        <v>62</v>
      </c>
      <c r="I83" s="226" t="s">
        <v>674</v>
      </c>
    </row>
  </sheetData>
  <mergeCells count="4">
    <mergeCell ref="F37:G37"/>
    <mergeCell ref="F39:G39"/>
    <mergeCell ref="B37:C37"/>
    <mergeCell ref="B39:C39"/>
  </mergeCells>
  <phoneticPr fontId="7" type="noConversion"/>
  <hyperlinks>
    <hyperlink ref="A46" location="_ftn1" display="_ftn1" xr:uid="{00000000-0004-0000-0400-000000000000}"/>
    <hyperlink ref="A54" r:id="rId1" xr:uid="{00000000-0004-0000-0400-000001000000}"/>
    <hyperlink ref="A64" r:id="rId2" xr:uid="{00000000-0004-0000-0400-000002000000}"/>
  </hyperlinks>
  <pageMargins left="0.75" right="0.75" top="1" bottom="1" header="0.5" footer="0.5"/>
  <pageSetup paperSize="9"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7"/>
  <sheetViews>
    <sheetView zoomScale="85" zoomScaleNormal="85" workbookViewId="0">
      <selection activeCell="D9" sqref="D9"/>
    </sheetView>
  </sheetViews>
  <sheetFormatPr defaultColWidth="15" defaultRowHeight="10.199999999999999" x14ac:dyDescent="0.2"/>
  <cols>
    <col min="3" max="3" width="4.42578125" customWidth="1"/>
  </cols>
  <sheetData>
    <row r="1" spans="1:13" s="5" customFormat="1" x14ac:dyDescent="0.2">
      <c r="A1" t="s">
        <v>831</v>
      </c>
      <c r="B1"/>
      <c r="C1"/>
      <c r="D1"/>
      <c r="E1"/>
      <c r="F1"/>
      <c r="G1"/>
      <c r="H1"/>
      <c r="I1"/>
      <c r="J1"/>
      <c r="K1"/>
      <c r="L1"/>
      <c r="M1"/>
    </row>
    <row r="2" spans="1:13" s="5" customFormat="1" x14ac:dyDescent="0.2">
      <c r="A2"/>
      <c r="B2"/>
      <c r="C2"/>
      <c r="D2"/>
      <c r="E2"/>
      <c r="F2"/>
      <c r="G2"/>
      <c r="H2"/>
      <c r="I2"/>
      <c r="J2"/>
      <c r="K2"/>
      <c r="L2"/>
      <c r="M2"/>
    </row>
    <row r="3" spans="1:13" s="5" customFormat="1" x14ac:dyDescent="0.2">
      <c r="B3"/>
      <c r="C3"/>
      <c r="D3"/>
      <c r="E3"/>
      <c r="F3"/>
      <c r="G3"/>
      <c r="H3"/>
      <c r="I3"/>
      <c r="J3"/>
      <c r="K3"/>
      <c r="L3"/>
      <c r="M3"/>
    </row>
    <row r="4" spans="1:13" s="5" customFormat="1" ht="20.399999999999999" customHeight="1" x14ac:dyDescent="0.25">
      <c r="A4" s="442" t="s">
        <v>837</v>
      </c>
      <c r="B4" s="443"/>
      <c r="C4" s="443"/>
      <c r="D4" s="443"/>
      <c r="E4"/>
      <c r="F4"/>
      <c r="G4" s="277" t="s">
        <v>835</v>
      </c>
      <c r="H4"/>
      <c r="I4"/>
      <c r="J4"/>
      <c r="K4"/>
      <c r="L4"/>
      <c r="M4"/>
    </row>
    <row r="5" spans="1:13" s="5" customFormat="1" ht="13.2" x14ac:dyDescent="0.25">
      <c r="A5" s="596" t="s">
        <v>834</v>
      </c>
      <c r="B5" s="596"/>
      <c r="C5" s="596"/>
      <c r="D5" s="596"/>
      <c r="E5"/>
      <c r="F5"/>
      <c r="G5" s="68" t="s">
        <v>836</v>
      </c>
      <c r="H5"/>
      <c r="I5"/>
      <c r="J5"/>
      <c r="K5"/>
      <c r="L5"/>
      <c r="M5"/>
    </row>
    <row r="6" spans="1:13" s="77" customFormat="1" x14ac:dyDescent="0.2">
      <c r="E6"/>
      <c r="F6"/>
      <c r="G6"/>
      <c r="H6"/>
      <c r="I6"/>
      <c r="J6"/>
      <c r="K6"/>
      <c r="L6"/>
      <c r="M6"/>
    </row>
    <row r="7" spans="1:13" s="5" customFormat="1" x14ac:dyDescent="0.2">
      <c r="E7"/>
      <c r="F7"/>
      <c r="G7"/>
      <c r="H7"/>
      <c r="I7"/>
      <c r="J7"/>
      <c r="K7"/>
      <c r="L7"/>
      <c r="M7"/>
    </row>
    <row r="8" spans="1:13" s="5" customFormat="1" x14ac:dyDescent="0.2">
      <c r="A8"/>
      <c r="B8" s="264">
        <v>2004</v>
      </c>
      <c r="C8"/>
      <c r="D8" s="264">
        <v>2019</v>
      </c>
      <c r="E8"/>
      <c r="F8"/>
      <c r="H8" s="264">
        <v>2004</v>
      </c>
      <c r="I8" s="264">
        <v>2019</v>
      </c>
      <c r="K8"/>
      <c r="L8"/>
      <c r="M8"/>
    </row>
    <row r="9" spans="1:13" s="5" customFormat="1" ht="33" customHeight="1" x14ac:dyDescent="0.2">
      <c r="A9" t="s">
        <v>832</v>
      </c>
      <c r="B9" s="441">
        <v>980000</v>
      </c>
      <c r="C9" s="441"/>
      <c r="D9" s="441">
        <f>B9*factor04</f>
        <v>1274036.2560118388</v>
      </c>
      <c r="E9"/>
      <c r="F9"/>
      <c r="G9" s="11" t="s">
        <v>838</v>
      </c>
      <c r="H9" s="441">
        <v>2900000</v>
      </c>
      <c r="I9" s="441">
        <f>H9*factor16</f>
        <v>3049556.1097256858</v>
      </c>
      <c r="J9"/>
      <c r="K9"/>
      <c r="L9"/>
      <c r="M9"/>
    </row>
    <row r="10" spans="1:13" s="5" customFormat="1" x14ac:dyDescent="0.2">
      <c r="A10" t="s">
        <v>833</v>
      </c>
      <c r="B10" s="441">
        <v>2000000</v>
      </c>
      <c r="C10" s="441"/>
      <c r="D10" s="441">
        <f>B10*factor04</f>
        <v>2600073.9918608954</v>
      </c>
      <c r="E10"/>
      <c r="F10"/>
      <c r="G10"/>
      <c r="H10"/>
      <c r="I10"/>
      <c r="J10"/>
      <c r="K10"/>
      <c r="L10"/>
      <c r="M10"/>
    </row>
    <row r="11" spans="1:13" s="5" customFormat="1" x14ac:dyDescent="0.2">
      <c r="A11"/>
      <c r="B11"/>
      <c r="C11"/>
      <c r="D11"/>
      <c r="E11"/>
      <c r="F11"/>
      <c r="G11"/>
      <c r="H11"/>
      <c r="I11"/>
      <c r="J11"/>
      <c r="K11"/>
      <c r="L11"/>
      <c r="M11"/>
    </row>
    <row r="12" spans="1:13" s="5" customFormat="1" x14ac:dyDescent="0.2">
      <c r="A12"/>
      <c r="B12"/>
      <c r="C12"/>
      <c r="D12"/>
      <c r="E12"/>
      <c r="F12"/>
      <c r="G12"/>
      <c r="H12"/>
      <c r="I12"/>
      <c r="J12"/>
      <c r="K12"/>
      <c r="L12"/>
      <c r="M12"/>
    </row>
    <row r="13" spans="1:13" s="5" customFormat="1" x14ac:dyDescent="0.2">
      <c r="A13"/>
      <c r="B13"/>
      <c r="C13"/>
      <c r="D13"/>
      <c r="E13"/>
      <c r="F13"/>
      <c r="G13"/>
      <c r="H13"/>
      <c r="I13"/>
      <c r="J13"/>
      <c r="K13"/>
      <c r="L13"/>
      <c r="M13"/>
    </row>
    <row r="14" spans="1:13" s="5" customFormat="1" x14ac:dyDescent="0.2">
      <c r="A14"/>
      <c r="B14"/>
      <c r="C14"/>
      <c r="D14"/>
      <c r="E14"/>
      <c r="F14"/>
      <c r="G14"/>
      <c r="H14"/>
      <c r="I14"/>
      <c r="J14"/>
      <c r="K14"/>
      <c r="L14"/>
      <c r="M14"/>
    </row>
    <row r="15" spans="1:13" s="5" customFormat="1" x14ac:dyDescent="0.2">
      <c r="A15"/>
      <c r="B15"/>
      <c r="C15"/>
      <c r="D15"/>
      <c r="E15"/>
      <c r="F15"/>
      <c r="G15"/>
      <c r="H15"/>
      <c r="I15"/>
      <c r="J15"/>
      <c r="K15"/>
      <c r="L15"/>
      <c r="M15"/>
    </row>
    <row r="16" spans="1:13" s="5" customFormat="1" x14ac:dyDescent="0.2">
      <c r="A16"/>
      <c r="B16"/>
      <c r="C16"/>
      <c r="D16"/>
      <c r="E16"/>
      <c r="F16"/>
      <c r="G16"/>
      <c r="H16"/>
      <c r="I16"/>
      <c r="J16"/>
      <c r="K16"/>
      <c r="L16"/>
      <c r="M16"/>
    </row>
    <row r="17" spans="1:13" s="5" customFormat="1" x14ac:dyDescent="0.2">
      <c r="A17"/>
      <c r="B17"/>
      <c r="C17"/>
      <c r="D17"/>
      <c r="E17"/>
      <c r="F17"/>
      <c r="G17"/>
      <c r="H17"/>
      <c r="I17"/>
      <c r="J17"/>
      <c r="K17"/>
      <c r="L17"/>
      <c r="M17"/>
    </row>
    <row r="18" spans="1:13" s="5" customFormat="1" x14ac:dyDescent="0.2">
      <c r="A18"/>
      <c r="B18"/>
      <c r="C18"/>
      <c r="D18"/>
      <c r="E18"/>
      <c r="F18"/>
      <c r="G18"/>
      <c r="H18"/>
      <c r="I18"/>
      <c r="J18"/>
      <c r="K18"/>
      <c r="L18"/>
      <c r="M18"/>
    </row>
    <row r="19" spans="1:13" s="5" customFormat="1" x14ac:dyDescent="0.2">
      <c r="A19"/>
      <c r="B19"/>
      <c r="C19"/>
      <c r="D19"/>
      <c r="E19"/>
      <c r="F19"/>
      <c r="G19"/>
      <c r="H19"/>
      <c r="I19"/>
      <c r="J19"/>
      <c r="K19"/>
      <c r="L19"/>
      <c r="M19"/>
    </row>
    <row r="20" spans="1:13" s="5" customFormat="1" x14ac:dyDescent="0.2">
      <c r="A20"/>
      <c r="B20"/>
      <c r="C20"/>
      <c r="D20"/>
      <c r="E20"/>
      <c r="F20"/>
      <c r="G20"/>
      <c r="H20"/>
      <c r="I20"/>
      <c r="J20"/>
      <c r="K20"/>
      <c r="L20"/>
      <c r="M20"/>
    </row>
    <row r="21" spans="1:13" s="5" customFormat="1" x14ac:dyDescent="0.2">
      <c r="A21"/>
      <c r="B21"/>
      <c r="C21"/>
      <c r="D21"/>
      <c r="E21"/>
      <c r="F21"/>
      <c r="G21"/>
      <c r="H21"/>
      <c r="I21"/>
      <c r="J21"/>
      <c r="K21"/>
      <c r="L21"/>
      <c r="M21"/>
    </row>
    <row r="22" spans="1:13" s="5" customFormat="1" x14ac:dyDescent="0.2">
      <c r="A22"/>
      <c r="B22"/>
      <c r="C22"/>
      <c r="D22"/>
      <c r="E22"/>
      <c r="F22"/>
      <c r="G22"/>
      <c r="H22"/>
      <c r="I22"/>
      <c r="J22"/>
      <c r="K22"/>
      <c r="L22"/>
      <c r="M22"/>
    </row>
    <row r="23" spans="1:13" s="5" customFormat="1" x14ac:dyDescent="0.2">
      <c r="A23"/>
      <c r="B23"/>
      <c r="C23"/>
      <c r="D23"/>
      <c r="E23"/>
      <c r="F23"/>
      <c r="G23"/>
      <c r="H23"/>
      <c r="I23"/>
      <c r="J23"/>
      <c r="K23"/>
      <c r="L23"/>
      <c r="M23"/>
    </row>
    <row r="24" spans="1:13" s="5" customFormat="1" x14ac:dyDescent="0.2">
      <c r="A24"/>
      <c r="B24"/>
      <c r="C24"/>
      <c r="D24"/>
      <c r="E24"/>
      <c r="F24"/>
      <c r="G24"/>
      <c r="H24"/>
      <c r="I24"/>
      <c r="J24"/>
      <c r="K24"/>
      <c r="L24"/>
      <c r="M24"/>
    </row>
    <row r="25" spans="1:13" s="5" customFormat="1" x14ac:dyDescent="0.2">
      <c r="A25"/>
      <c r="B25"/>
      <c r="C25"/>
      <c r="D25"/>
      <c r="E25"/>
      <c r="F25"/>
      <c r="G25"/>
      <c r="H25"/>
      <c r="I25"/>
      <c r="J25"/>
      <c r="K25"/>
      <c r="L25"/>
      <c r="M25"/>
    </row>
    <row r="26" spans="1:13" s="5" customFormat="1" x14ac:dyDescent="0.2">
      <c r="A26"/>
      <c r="B26"/>
      <c r="C26"/>
      <c r="D26"/>
      <c r="E26"/>
      <c r="F26"/>
      <c r="G26"/>
      <c r="H26"/>
      <c r="I26"/>
      <c r="J26"/>
      <c r="K26"/>
      <c r="L26"/>
      <c r="M26"/>
    </row>
    <row r="27" spans="1:13" s="5" customFormat="1" x14ac:dyDescent="0.2">
      <c r="A27"/>
      <c r="B27"/>
      <c r="C27"/>
      <c r="D27"/>
      <c r="E27"/>
      <c r="F27"/>
      <c r="G27"/>
      <c r="H27"/>
      <c r="I27"/>
      <c r="J27"/>
      <c r="K27"/>
      <c r="L27"/>
      <c r="M27"/>
    </row>
    <row r="28" spans="1:13" s="5" customFormat="1" x14ac:dyDescent="0.2">
      <c r="A28"/>
      <c r="B28"/>
      <c r="C28"/>
      <c r="D28"/>
      <c r="E28"/>
      <c r="F28"/>
      <c r="G28"/>
      <c r="H28"/>
      <c r="I28"/>
      <c r="J28"/>
      <c r="K28"/>
      <c r="L28"/>
      <c r="M28"/>
    </row>
    <row r="29" spans="1:13" s="5" customFormat="1" x14ac:dyDescent="0.2">
      <c r="A29"/>
      <c r="B29"/>
      <c r="C29"/>
      <c r="D29"/>
      <c r="E29"/>
      <c r="F29"/>
      <c r="G29"/>
      <c r="H29"/>
      <c r="I29"/>
      <c r="J29"/>
      <c r="K29"/>
      <c r="L29"/>
      <c r="M29"/>
    </row>
    <row r="30" spans="1:13" s="5" customFormat="1" x14ac:dyDescent="0.2">
      <c r="A30"/>
      <c r="B30"/>
      <c r="C30"/>
      <c r="D30"/>
      <c r="E30"/>
      <c r="F30"/>
      <c r="G30"/>
      <c r="H30"/>
      <c r="I30"/>
      <c r="J30"/>
      <c r="K30"/>
      <c r="L30"/>
      <c r="M30"/>
    </row>
    <row r="31" spans="1:13" s="5" customFormat="1" x14ac:dyDescent="0.2">
      <c r="A31"/>
      <c r="B31"/>
      <c r="C31"/>
      <c r="D31"/>
      <c r="E31"/>
      <c r="F31"/>
      <c r="G31"/>
      <c r="H31"/>
      <c r="I31"/>
      <c r="J31"/>
      <c r="K31"/>
      <c r="L31"/>
      <c r="M31"/>
    </row>
    <row r="32" spans="1:13" s="5" customFormat="1" x14ac:dyDescent="0.2">
      <c r="A32"/>
      <c r="B32"/>
      <c r="C32"/>
      <c r="D32"/>
      <c r="E32"/>
      <c r="F32"/>
      <c r="G32"/>
      <c r="H32"/>
      <c r="I32"/>
      <c r="J32"/>
      <c r="K32"/>
      <c r="L32"/>
      <c r="M32"/>
    </row>
    <row r="33" spans="1:13" s="5" customFormat="1" x14ac:dyDescent="0.2">
      <c r="A33"/>
      <c r="B33"/>
      <c r="C33"/>
      <c r="D33"/>
      <c r="E33"/>
      <c r="F33"/>
      <c r="G33"/>
      <c r="H33"/>
      <c r="I33"/>
      <c r="J33"/>
      <c r="K33"/>
      <c r="L33"/>
      <c r="M33"/>
    </row>
    <row r="35" spans="1:13" s="95" customFormat="1" x14ac:dyDescent="0.2">
      <c r="A35"/>
      <c r="B35"/>
      <c r="C35"/>
      <c r="D35"/>
      <c r="E35"/>
      <c r="F35"/>
      <c r="G35"/>
      <c r="H35"/>
      <c r="I35"/>
      <c r="J35"/>
      <c r="K35"/>
      <c r="L35"/>
      <c r="M35"/>
    </row>
    <row r="44" spans="1:13" ht="18.75" customHeight="1" x14ac:dyDescent="0.2"/>
    <row r="45" spans="1:13" ht="21.75" customHeight="1" x14ac:dyDescent="0.2"/>
    <row r="46" spans="1:13" ht="21.75" customHeight="1" x14ac:dyDescent="0.2"/>
    <row r="47" spans="1:13" ht="20.25" customHeight="1" x14ac:dyDescent="0.2"/>
    <row r="57" ht="16.5" customHeight="1" x14ac:dyDescent="0.2"/>
  </sheetData>
  <mergeCells count="1">
    <mergeCell ref="A5:D5"/>
  </mergeCells>
  <hyperlinks>
    <hyperlink ref="G5" r:id="rId1" xr:uid="{00000000-0004-0000-0500-000000000000}"/>
  </hyperlinks>
  <pageMargins left="0.75" right="0.75" top="1" bottom="1" header="0.5" footer="0.5"/>
  <pageSetup paperSize="9"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Y100"/>
  <sheetViews>
    <sheetView topLeftCell="B17" zoomScale="70" zoomScaleNormal="70" workbookViewId="0">
      <selection activeCell="L30" sqref="L30:M30"/>
    </sheetView>
  </sheetViews>
  <sheetFormatPr defaultRowHeight="10.199999999999999" x14ac:dyDescent="0.2"/>
  <cols>
    <col min="1" max="2" width="16.7109375" customWidth="1"/>
    <col min="3" max="3" width="20.42578125" customWidth="1"/>
    <col min="4" max="4" width="16.7109375" customWidth="1"/>
    <col min="5" max="5" width="19.140625" customWidth="1"/>
    <col min="6" max="6" width="18.140625" customWidth="1"/>
    <col min="7" max="7" width="20.28515625" customWidth="1"/>
    <col min="8" max="11" width="23.28515625" customWidth="1"/>
    <col min="12" max="12" width="16.140625" customWidth="1"/>
    <col min="13" max="13" width="15.85546875" customWidth="1"/>
    <col min="14" max="15" width="18" customWidth="1"/>
    <col min="16" max="16" width="11.85546875" customWidth="1"/>
    <col min="19" max="20" width="24.85546875" customWidth="1"/>
    <col min="21" max="22" width="6.42578125" customWidth="1"/>
    <col min="23" max="24" width="24.85546875" customWidth="1"/>
  </cols>
  <sheetData>
    <row r="2" spans="1:11" ht="13.2" x14ac:dyDescent="0.25">
      <c r="A2" s="278" t="s">
        <v>781</v>
      </c>
    </row>
    <row r="3" spans="1:11" ht="13.2" x14ac:dyDescent="0.2">
      <c r="A3" s="277" t="s">
        <v>782</v>
      </c>
    </row>
    <row r="4" spans="1:11" ht="13.2" x14ac:dyDescent="0.25">
      <c r="A4" s="68" t="s">
        <v>783</v>
      </c>
    </row>
    <row r="6" spans="1:11" ht="16.2" thickBot="1" x14ac:dyDescent="0.4">
      <c r="A6" s="278" t="s">
        <v>784</v>
      </c>
      <c r="H6" s="11" t="s">
        <v>785</v>
      </c>
    </row>
    <row r="7" spans="1:11" ht="29.4" thickBot="1" x14ac:dyDescent="0.25">
      <c r="A7" s="350" t="s">
        <v>780</v>
      </c>
      <c r="B7" s="351" t="s">
        <v>771</v>
      </c>
      <c r="C7" s="351" t="s">
        <v>772</v>
      </c>
      <c r="D7" s="351" t="s">
        <v>773</v>
      </c>
      <c r="H7" s="350" t="s">
        <v>780</v>
      </c>
      <c r="I7" s="351" t="s">
        <v>771</v>
      </c>
      <c r="J7" s="351" t="s">
        <v>772</v>
      </c>
      <c r="K7" s="351" t="s">
        <v>773</v>
      </c>
    </row>
    <row r="8" spans="1:11" ht="13.8" thickBot="1" x14ac:dyDescent="0.25">
      <c r="A8" s="352" t="s">
        <v>774</v>
      </c>
      <c r="B8" s="353">
        <v>34</v>
      </c>
      <c r="C8" s="353">
        <v>5</v>
      </c>
      <c r="D8" s="354">
        <v>39</v>
      </c>
      <c r="H8" s="352" t="s">
        <v>774</v>
      </c>
      <c r="I8" s="361">
        <f t="shared" ref="I8:K13" si="0">B8*factor16</f>
        <v>35.753416458852868</v>
      </c>
      <c r="J8" s="361">
        <f t="shared" si="0"/>
        <v>5.2578553615960102</v>
      </c>
      <c r="K8" s="362">
        <f t="shared" si="0"/>
        <v>41.011271820448876</v>
      </c>
    </row>
    <row r="9" spans="1:11" ht="13.8" thickBot="1" x14ac:dyDescent="0.25">
      <c r="A9" s="355" t="s">
        <v>775</v>
      </c>
      <c r="B9" s="356">
        <v>68</v>
      </c>
      <c r="C9" s="356">
        <v>6</v>
      </c>
      <c r="D9" s="357">
        <v>74</v>
      </c>
      <c r="H9" s="355" t="s">
        <v>775</v>
      </c>
      <c r="I9" s="363">
        <f t="shared" si="0"/>
        <v>71.506832917705736</v>
      </c>
      <c r="J9" s="363">
        <f t="shared" si="0"/>
        <v>6.3094264339152115</v>
      </c>
      <c r="K9" s="364">
        <f t="shared" si="0"/>
        <v>77.816259351620943</v>
      </c>
    </row>
    <row r="10" spans="1:11" ht="13.8" thickBot="1" x14ac:dyDescent="0.25">
      <c r="A10" s="352" t="s">
        <v>776</v>
      </c>
      <c r="B10" s="353">
        <v>68</v>
      </c>
      <c r="C10" s="353">
        <v>9</v>
      </c>
      <c r="D10" s="354">
        <v>77</v>
      </c>
      <c r="H10" s="352" t="s">
        <v>776</v>
      </c>
      <c r="I10" s="361">
        <f t="shared" si="0"/>
        <v>71.506832917705736</v>
      </c>
      <c r="J10" s="361">
        <f t="shared" si="0"/>
        <v>9.4641396508728182</v>
      </c>
      <c r="K10" s="362">
        <f t="shared" si="0"/>
        <v>80.97097256857856</v>
      </c>
    </row>
    <row r="11" spans="1:11" ht="13.8" thickBot="1" x14ac:dyDescent="0.25">
      <c r="A11" s="355" t="s">
        <v>777</v>
      </c>
      <c r="B11" s="356">
        <v>129</v>
      </c>
      <c r="C11" s="356">
        <v>12</v>
      </c>
      <c r="D11" s="357">
        <v>141</v>
      </c>
      <c r="H11" s="355" t="s">
        <v>777</v>
      </c>
      <c r="I11" s="363">
        <f t="shared" si="0"/>
        <v>135.65266832917706</v>
      </c>
      <c r="J11" s="363">
        <f t="shared" si="0"/>
        <v>12.618852867830423</v>
      </c>
      <c r="K11" s="364">
        <f t="shared" si="0"/>
        <v>148.27152119700747</v>
      </c>
    </row>
    <row r="12" spans="1:11" ht="13.8" thickBot="1" x14ac:dyDescent="0.25">
      <c r="A12" s="352" t="s">
        <v>778</v>
      </c>
      <c r="B12" s="353">
        <v>129</v>
      </c>
      <c r="C12" s="353">
        <v>16</v>
      </c>
      <c r="D12" s="354">
        <v>145</v>
      </c>
      <c r="H12" s="352" t="s">
        <v>778</v>
      </c>
      <c r="I12" s="361">
        <f t="shared" si="0"/>
        <v>135.65266832917706</v>
      </c>
      <c r="J12" s="361">
        <f t="shared" si="0"/>
        <v>16.825137157107232</v>
      </c>
      <c r="K12" s="362">
        <f t="shared" si="0"/>
        <v>152.4778054862843</v>
      </c>
    </row>
    <row r="13" spans="1:11" ht="13.8" thickBot="1" x14ac:dyDescent="0.25">
      <c r="A13" s="358" t="s">
        <v>779</v>
      </c>
      <c r="B13" s="359">
        <v>129</v>
      </c>
      <c r="C13" s="359">
        <v>21</v>
      </c>
      <c r="D13" s="360">
        <v>150</v>
      </c>
      <c r="H13" s="358" t="s">
        <v>779</v>
      </c>
      <c r="I13" s="365">
        <f t="shared" si="0"/>
        <v>135.65266832917706</v>
      </c>
      <c r="J13" s="365">
        <f t="shared" si="0"/>
        <v>22.082992518703243</v>
      </c>
      <c r="K13" s="366">
        <f t="shared" si="0"/>
        <v>157.7356608478803</v>
      </c>
    </row>
    <row r="16" spans="1:11" ht="10.8" thickBot="1" x14ac:dyDescent="0.25">
      <c r="H16" s="264" t="s">
        <v>785</v>
      </c>
    </row>
    <row r="17" spans="1:21" ht="11.4" customHeight="1" x14ac:dyDescent="0.2">
      <c r="A17" s="422"/>
      <c r="B17" s="423" t="s">
        <v>813</v>
      </c>
      <c r="C17" s="597" t="s">
        <v>814</v>
      </c>
      <c r="D17" s="598"/>
      <c r="E17" s="598"/>
      <c r="F17" s="599"/>
      <c r="H17" s="422"/>
      <c r="I17" s="423" t="s">
        <v>813</v>
      </c>
      <c r="J17" s="597" t="s">
        <v>814</v>
      </c>
      <c r="K17" s="598"/>
      <c r="L17" s="598"/>
      <c r="M17" s="599"/>
    </row>
    <row r="18" spans="1:21" ht="13.2" x14ac:dyDescent="0.2">
      <c r="A18" s="424"/>
      <c r="B18" s="425" t="s">
        <v>815</v>
      </c>
      <c r="C18" s="426" t="s">
        <v>816</v>
      </c>
      <c r="D18" s="427" t="s">
        <v>817</v>
      </c>
      <c r="E18" s="426" t="s">
        <v>818</v>
      </c>
      <c r="F18" s="426" t="s">
        <v>819</v>
      </c>
      <c r="H18" s="424"/>
      <c r="I18" s="425" t="s">
        <v>815</v>
      </c>
      <c r="J18" s="426" t="s">
        <v>816</v>
      </c>
      <c r="K18" s="427" t="s">
        <v>817</v>
      </c>
      <c r="L18" s="426" t="s">
        <v>818</v>
      </c>
      <c r="M18" s="426" t="s">
        <v>819</v>
      </c>
    </row>
    <row r="19" spans="1:21" ht="12" x14ac:dyDescent="0.2">
      <c r="A19" s="428" t="s">
        <v>551</v>
      </c>
      <c r="B19" s="604">
        <v>0.84</v>
      </c>
      <c r="C19" s="604">
        <v>257</v>
      </c>
      <c r="D19" s="604">
        <v>2.0499999999999998</v>
      </c>
      <c r="E19" s="604">
        <v>9.0399999999999991</v>
      </c>
      <c r="F19" s="429">
        <v>0.46</v>
      </c>
      <c r="H19" s="428" t="s">
        <v>551</v>
      </c>
      <c r="I19" s="600">
        <f>B19*factor16</f>
        <v>0.8833197007481296</v>
      </c>
      <c r="J19" s="602">
        <f>C19*factor16</f>
        <v>270.25376558603489</v>
      </c>
      <c r="K19" s="600">
        <f>D19*factor16</f>
        <v>2.1557206982543637</v>
      </c>
      <c r="L19" s="600">
        <f>E19*factor16</f>
        <v>9.5062024937655849</v>
      </c>
      <c r="M19" s="434">
        <f>F19*factor16</f>
        <v>0.48372269326683293</v>
      </c>
    </row>
    <row r="20" spans="1:21" ht="12" x14ac:dyDescent="0.2">
      <c r="A20" s="430" t="s">
        <v>552</v>
      </c>
      <c r="B20" s="604"/>
      <c r="C20" s="604"/>
      <c r="D20" s="604"/>
      <c r="E20" s="604"/>
      <c r="F20" s="431">
        <v>0.11</v>
      </c>
      <c r="H20" s="430" t="s">
        <v>552</v>
      </c>
      <c r="I20" s="600"/>
      <c r="J20" s="602"/>
      <c r="K20" s="600"/>
      <c r="L20" s="600"/>
      <c r="M20" s="434">
        <f>F20*factor16</f>
        <v>0.11567281795511222</v>
      </c>
    </row>
    <row r="21" spans="1:21" ht="12.6" thickBot="1" x14ac:dyDescent="0.25">
      <c r="A21" s="432" t="s">
        <v>820</v>
      </c>
      <c r="B21" s="605"/>
      <c r="C21" s="605"/>
      <c r="D21" s="605"/>
      <c r="E21" s="605"/>
      <c r="F21" s="433">
        <v>0.01</v>
      </c>
      <c r="H21" s="432" t="s">
        <v>820</v>
      </c>
      <c r="I21" s="601"/>
      <c r="J21" s="603"/>
      <c r="K21" s="601"/>
      <c r="L21" s="601"/>
      <c r="M21" s="434">
        <f>F21*factor16</f>
        <v>1.0515710723192019E-2</v>
      </c>
    </row>
    <row r="24" spans="1:21" ht="13.2" x14ac:dyDescent="0.2">
      <c r="A24" s="190" t="s">
        <v>821</v>
      </c>
    </row>
    <row r="26" spans="1:21" ht="13.8" thickBot="1" x14ac:dyDescent="0.25">
      <c r="S26" s="72" t="s">
        <v>44</v>
      </c>
      <c r="T26" s="74">
        <f>T88*$T$92</f>
        <v>110.7</v>
      </c>
    </row>
    <row r="27" spans="1:21" ht="13.2" x14ac:dyDescent="0.2">
      <c r="A27" s="73"/>
      <c r="B27" s="347"/>
      <c r="C27" s="347"/>
      <c r="D27" s="347"/>
      <c r="E27" s="347"/>
      <c r="S27" s="348"/>
      <c r="T27" s="349"/>
    </row>
    <row r="28" spans="1:21" ht="13.8" thickBot="1" x14ac:dyDescent="0.25">
      <c r="A28" s="620" t="s">
        <v>691</v>
      </c>
      <c r="B28" s="621"/>
      <c r="C28" s="621"/>
      <c r="D28" s="621"/>
      <c r="E28" s="621"/>
      <c r="S28" s="348"/>
      <c r="T28" s="349"/>
    </row>
    <row r="29" spans="1:21" ht="13.8" thickBot="1" x14ac:dyDescent="0.25">
      <c r="A29" s="73"/>
      <c r="B29" s="347"/>
      <c r="C29" s="347"/>
      <c r="D29" s="347"/>
      <c r="E29" s="347"/>
      <c r="T29" s="348"/>
      <c r="U29" s="349"/>
    </row>
    <row r="30" spans="1:21" ht="13.8" thickBot="1" x14ac:dyDescent="0.3">
      <c r="A30" s="73"/>
      <c r="B30" s="347"/>
      <c r="C30" s="347"/>
      <c r="D30" s="347"/>
      <c r="L30" s="618" t="s">
        <v>762</v>
      </c>
      <c r="M30" s="619"/>
      <c r="S30" s="348"/>
      <c r="T30" s="349"/>
    </row>
    <row r="31" spans="1:21" ht="43.2" customHeight="1" x14ac:dyDescent="0.2">
      <c r="A31" s="611" t="s">
        <v>690</v>
      </c>
      <c r="B31" s="612"/>
      <c r="C31" s="611" t="s">
        <v>839</v>
      </c>
      <c r="D31" s="612" t="s">
        <v>866</v>
      </c>
      <c r="E31" s="612" t="s">
        <v>841</v>
      </c>
      <c r="F31" s="615" t="s">
        <v>840</v>
      </c>
      <c r="G31" s="615" t="s">
        <v>867</v>
      </c>
      <c r="H31" s="615" t="s">
        <v>842</v>
      </c>
      <c r="J31" s="611" t="s">
        <v>690</v>
      </c>
      <c r="K31" s="612"/>
      <c r="L31" s="617" t="s">
        <v>769</v>
      </c>
      <c r="M31" s="617" t="s">
        <v>770</v>
      </c>
    </row>
    <row r="32" spans="1:21" ht="40.65" customHeight="1" thickBot="1" x14ac:dyDescent="0.25">
      <c r="A32" s="613"/>
      <c r="B32" s="614"/>
      <c r="C32" s="613"/>
      <c r="D32" s="614"/>
      <c r="E32" s="614"/>
      <c r="F32" s="616"/>
      <c r="G32" s="616"/>
      <c r="H32" s="616"/>
      <c r="J32" s="613"/>
      <c r="K32" s="614"/>
      <c r="L32" s="616"/>
      <c r="M32" s="616"/>
    </row>
    <row r="33" spans="1:13" ht="12.75" customHeight="1" x14ac:dyDescent="0.2">
      <c r="A33" s="453">
        <v>45</v>
      </c>
      <c r="B33" s="449">
        <v>46</v>
      </c>
      <c r="C33" s="457">
        <v>15.614323812000004</v>
      </c>
      <c r="D33" s="460">
        <f t="shared" ref="D33:D68" si="1">C33*UK_factor14</f>
        <v>16.832241069336007</v>
      </c>
      <c r="E33" s="462">
        <f t="shared" ref="E33:E68" si="2">D33/ExR_GBP_19</f>
        <v>19.176140753655293</v>
      </c>
      <c r="F33" s="457">
        <v>37.927091999999746</v>
      </c>
      <c r="G33" s="460">
        <f t="shared" ref="G33:G68" si="3">F33*UK_factor14</f>
        <v>40.885405175999729</v>
      </c>
      <c r="H33" s="462">
        <f t="shared" ref="H33:H68" si="4">G33/ExR_GBP_19</f>
        <v>46.578722417033767</v>
      </c>
      <c r="J33" s="445">
        <v>45</v>
      </c>
      <c r="K33" s="245">
        <v>46</v>
      </c>
      <c r="L33" s="249">
        <f>E33</f>
        <v>19.176140753655293</v>
      </c>
      <c r="M33" s="249">
        <f>H33</f>
        <v>46.578722417033767</v>
      </c>
    </row>
    <row r="34" spans="1:13" ht="12.75" customHeight="1" x14ac:dyDescent="0.2">
      <c r="A34" s="454">
        <v>46</v>
      </c>
      <c r="B34" s="450">
        <v>47</v>
      </c>
      <c r="C34" s="458">
        <v>17.723853636000001</v>
      </c>
      <c r="D34" s="461">
        <f t="shared" si="1"/>
        <v>19.106314219608002</v>
      </c>
      <c r="E34" s="451">
        <f t="shared" si="2"/>
        <v>21.766879956717592</v>
      </c>
      <c r="F34" s="458">
        <v>40.790316000000473</v>
      </c>
      <c r="G34" s="461">
        <f t="shared" si="3"/>
        <v>43.971960648000511</v>
      </c>
      <c r="H34" s="451">
        <f t="shared" si="4"/>
        <v>50.09508259339065</v>
      </c>
      <c r="J34" s="446">
        <v>50</v>
      </c>
      <c r="K34" s="246">
        <v>51</v>
      </c>
      <c r="L34" s="250">
        <f>E38</f>
        <v>47.54263549458561</v>
      </c>
      <c r="M34" s="250">
        <f>H38</f>
        <v>64.160523298813629</v>
      </c>
    </row>
    <row r="35" spans="1:13" ht="13.2" x14ac:dyDescent="0.2">
      <c r="A35" s="455">
        <v>47</v>
      </c>
      <c r="B35" s="451">
        <v>48</v>
      </c>
      <c r="C35" s="458">
        <v>19.818149915999992</v>
      </c>
      <c r="D35" s="461">
        <f t="shared" si="1"/>
        <v>21.363965609447995</v>
      </c>
      <c r="E35" s="451">
        <f t="shared" si="2"/>
        <v>24.338910659339</v>
      </c>
      <c r="F35" s="458">
        <v>43.653539999999509</v>
      </c>
      <c r="G35" s="461">
        <f t="shared" si="3"/>
        <v>47.058516119999474</v>
      </c>
      <c r="H35" s="451">
        <f t="shared" si="4"/>
        <v>53.611442769745459</v>
      </c>
      <c r="J35" s="447">
        <v>55</v>
      </c>
      <c r="K35" s="247">
        <v>56</v>
      </c>
      <c r="L35" s="251">
        <f>E43</f>
        <v>60.189700483456718</v>
      </c>
      <c r="M35" s="251">
        <f>H43</f>
        <v>81.74232418059394</v>
      </c>
    </row>
    <row r="36" spans="1:13" ht="13.2" x14ac:dyDescent="0.2">
      <c r="A36" s="454">
        <v>48</v>
      </c>
      <c r="B36" s="450">
        <v>49</v>
      </c>
      <c r="C36" s="458">
        <v>21.897212652</v>
      </c>
      <c r="D36" s="461">
        <f t="shared" si="1"/>
        <v>23.605195238856002</v>
      </c>
      <c r="E36" s="451">
        <f t="shared" si="2"/>
        <v>26.892232861519531</v>
      </c>
      <c r="F36" s="458">
        <v>46.516763999999561</v>
      </c>
      <c r="G36" s="461">
        <f t="shared" si="3"/>
        <v>50.145071591999532</v>
      </c>
      <c r="H36" s="451">
        <f t="shared" si="4"/>
        <v>57.127802946101518</v>
      </c>
      <c r="J36" s="446">
        <v>60</v>
      </c>
      <c r="K36" s="246">
        <v>61</v>
      </c>
      <c r="L36" s="250">
        <f>E48</f>
        <v>77.72284967434841</v>
      </c>
      <c r="M36" s="250">
        <f>H48</f>
        <v>99.324125062375046</v>
      </c>
    </row>
    <row r="37" spans="1:13" ht="13.2" x14ac:dyDescent="0.2">
      <c r="A37" s="455">
        <v>49</v>
      </c>
      <c r="B37" s="451">
        <v>50</v>
      </c>
      <c r="C37" s="458">
        <v>23.96104184399999</v>
      </c>
      <c r="D37" s="461">
        <f t="shared" si="1"/>
        <v>25.830003107831992</v>
      </c>
      <c r="E37" s="451">
        <f t="shared" si="2"/>
        <v>29.426846563259158</v>
      </c>
      <c r="F37" s="458">
        <v>49.379988000000303</v>
      </c>
      <c r="G37" s="461">
        <f t="shared" si="3"/>
        <v>53.231627064000328</v>
      </c>
      <c r="H37" s="451">
        <f t="shared" si="4"/>
        <v>60.644163122458416</v>
      </c>
      <c r="J37" s="447">
        <v>65</v>
      </c>
      <c r="K37" s="247">
        <v>66</v>
      </c>
      <c r="L37" s="251">
        <f>E53</f>
        <v>98.033169493548883</v>
      </c>
      <c r="M37" s="251">
        <f>H53</f>
        <v>116.90592594415452</v>
      </c>
    </row>
    <row r="38" spans="1:13" ht="13.2" x14ac:dyDescent="0.2">
      <c r="A38" s="454">
        <v>50</v>
      </c>
      <c r="B38" s="450">
        <v>51</v>
      </c>
      <c r="C38" s="458">
        <v>38.71196582382413</v>
      </c>
      <c r="D38" s="461">
        <f t="shared" si="1"/>
        <v>41.731499158082414</v>
      </c>
      <c r="E38" s="463">
        <f t="shared" si="2"/>
        <v>47.54263549458561</v>
      </c>
      <c r="F38" s="458">
        <v>52.243211999999666</v>
      </c>
      <c r="G38" s="461">
        <f t="shared" si="3"/>
        <v>56.318182535999647</v>
      </c>
      <c r="H38" s="463">
        <f t="shared" si="4"/>
        <v>64.160523298813629</v>
      </c>
      <c r="J38" s="446">
        <v>70</v>
      </c>
      <c r="K38" s="246">
        <v>71</v>
      </c>
      <c r="L38" s="250">
        <f>E58</f>
        <v>119.10099848296113</v>
      </c>
      <c r="M38" s="250">
        <f>H58</f>
        <v>116.90592594415452</v>
      </c>
    </row>
    <row r="39" spans="1:13" ht="13.2" x14ac:dyDescent="0.2">
      <c r="A39" s="455">
        <v>51</v>
      </c>
      <c r="B39" s="451">
        <v>52</v>
      </c>
      <c r="C39" s="458">
        <v>40.801480805280463</v>
      </c>
      <c r="D39" s="461">
        <f t="shared" si="1"/>
        <v>43.983996308092344</v>
      </c>
      <c r="E39" s="451">
        <f t="shared" si="2"/>
        <v>50.108794226383154</v>
      </c>
      <c r="F39" s="458">
        <v>55.106436000000407</v>
      </c>
      <c r="G39" s="461">
        <f t="shared" si="3"/>
        <v>59.404738008000443</v>
      </c>
      <c r="H39" s="451">
        <f t="shared" si="4"/>
        <v>67.676883475170527</v>
      </c>
      <c r="J39" s="447">
        <v>75</v>
      </c>
      <c r="K39" s="247">
        <v>76</v>
      </c>
      <c r="L39" s="251">
        <f>E63</f>
        <v>140.92658463961152</v>
      </c>
      <c r="M39" s="251">
        <f>H63</f>
        <v>116.90592594415452</v>
      </c>
    </row>
    <row r="40" spans="1:13" ht="13.8" thickBot="1" x14ac:dyDescent="0.25">
      <c r="A40" s="454">
        <v>52</v>
      </c>
      <c r="B40" s="450">
        <v>53</v>
      </c>
      <c r="C40" s="458">
        <v>42.876034064978398</v>
      </c>
      <c r="D40" s="461">
        <f t="shared" si="1"/>
        <v>46.220364722046718</v>
      </c>
      <c r="E40" s="451">
        <f t="shared" si="2"/>
        <v>52.656578285936767</v>
      </c>
      <c r="F40" s="458">
        <v>57.969659999999777</v>
      </c>
      <c r="G40" s="461">
        <f t="shared" si="3"/>
        <v>62.491293479999761</v>
      </c>
      <c r="H40" s="451">
        <f t="shared" si="4"/>
        <v>71.193243651525748</v>
      </c>
      <c r="J40" s="448">
        <v>80</v>
      </c>
      <c r="K40" s="248">
        <v>81</v>
      </c>
      <c r="L40" s="252">
        <f>E68</f>
        <v>153.15663517894805</v>
      </c>
      <c r="M40" s="252">
        <f>H68</f>
        <v>116.90592594415452</v>
      </c>
    </row>
    <row r="41" spans="1:13" ht="13.2" x14ac:dyDescent="0.2">
      <c r="A41" s="455">
        <v>53</v>
      </c>
      <c r="B41" s="451">
        <v>54</v>
      </c>
      <c r="C41" s="458">
        <v>44.935627068390716</v>
      </c>
      <c r="D41" s="461">
        <f t="shared" si="1"/>
        <v>48.440605979725191</v>
      </c>
      <c r="E41" s="451">
        <f t="shared" si="2"/>
        <v>55.185989473011368</v>
      </c>
      <c r="F41" s="458">
        <v>60.832884000000512</v>
      </c>
      <c r="G41" s="461">
        <f t="shared" si="3"/>
        <v>65.577848952000551</v>
      </c>
      <c r="H41" s="451">
        <f t="shared" si="4"/>
        <v>74.709603827882646</v>
      </c>
    </row>
    <row r="42" spans="1:13" ht="13.2" x14ac:dyDescent="0.2">
      <c r="A42" s="454">
        <v>54</v>
      </c>
      <c r="B42" s="450">
        <v>55</v>
      </c>
      <c r="C42" s="458">
        <v>46.980261289881483</v>
      </c>
      <c r="D42" s="461">
        <f t="shared" si="1"/>
        <v>50.644721670492238</v>
      </c>
      <c r="E42" s="451">
        <f t="shared" si="2"/>
        <v>57.697029598291394</v>
      </c>
      <c r="F42" s="458">
        <v>63.696107999999882</v>
      </c>
      <c r="G42" s="461">
        <f t="shared" si="3"/>
        <v>68.664404423999883</v>
      </c>
      <c r="H42" s="451">
        <f t="shared" si="4"/>
        <v>78.225964004237881</v>
      </c>
    </row>
    <row r="43" spans="1:13" ht="13.2" x14ac:dyDescent="0.2">
      <c r="A43" s="455">
        <v>55</v>
      </c>
      <c r="B43" s="451">
        <v>56</v>
      </c>
      <c r="C43" s="458">
        <v>49.009938212767906</v>
      </c>
      <c r="D43" s="461">
        <f t="shared" si="1"/>
        <v>52.832713393363804</v>
      </c>
      <c r="E43" s="463">
        <f t="shared" si="2"/>
        <v>60.189700483456718</v>
      </c>
      <c r="F43" s="458">
        <v>66.559331999999941</v>
      </c>
      <c r="G43" s="461">
        <f t="shared" si="3"/>
        <v>71.750959895999941</v>
      </c>
      <c r="H43" s="463">
        <f t="shared" si="4"/>
        <v>81.74232418059394</v>
      </c>
    </row>
    <row r="44" spans="1:13" ht="13.2" x14ac:dyDescent="0.2">
      <c r="A44" s="454">
        <v>56</v>
      </c>
      <c r="B44" s="450">
        <v>57</v>
      </c>
      <c r="C44" s="458">
        <v>51.024659329379105</v>
      </c>
      <c r="D44" s="461">
        <f t="shared" si="1"/>
        <v>55.004582757070679</v>
      </c>
      <c r="E44" s="451">
        <f t="shared" si="2"/>
        <v>62.664003961254856</v>
      </c>
      <c r="F44" s="458">
        <v>69.422555999999986</v>
      </c>
      <c r="G44" s="461">
        <f t="shared" si="3"/>
        <v>74.837515367999984</v>
      </c>
      <c r="H44" s="451">
        <f t="shared" si="4"/>
        <v>85.258684356949971</v>
      </c>
    </row>
    <row r="45" spans="1:13" ht="13.2" x14ac:dyDescent="0.2">
      <c r="A45" s="455">
        <v>57</v>
      </c>
      <c r="B45" s="451">
        <v>58</v>
      </c>
      <c r="C45" s="458">
        <v>53.02442614111898</v>
      </c>
      <c r="D45" s="461">
        <f t="shared" si="1"/>
        <v>57.160331380126266</v>
      </c>
      <c r="E45" s="451">
        <f t="shared" si="2"/>
        <v>65.119941875578178</v>
      </c>
      <c r="F45" s="458">
        <v>72.285780000000045</v>
      </c>
      <c r="G45" s="461">
        <f t="shared" si="3"/>
        <v>77.924070840000056</v>
      </c>
      <c r="H45" s="451">
        <f t="shared" si="4"/>
        <v>88.775044533306044</v>
      </c>
    </row>
    <row r="46" spans="1:13" ht="13.2" x14ac:dyDescent="0.2">
      <c r="A46" s="454">
        <v>58</v>
      </c>
      <c r="B46" s="450">
        <v>59</v>
      </c>
      <c r="C46" s="458">
        <v>56.563910845594975</v>
      </c>
      <c r="D46" s="461">
        <f t="shared" si="1"/>
        <v>60.975895891551389</v>
      </c>
      <c r="E46" s="451">
        <f t="shared" si="2"/>
        <v>69.466826038200651</v>
      </c>
      <c r="F46" s="458">
        <v>75.14900400000009</v>
      </c>
      <c r="G46" s="461">
        <f t="shared" si="3"/>
        <v>81.010626312000099</v>
      </c>
      <c r="H46" s="451">
        <f t="shared" si="4"/>
        <v>92.291404709662089</v>
      </c>
    </row>
    <row r="47" spans="1:13" ht="13.2" x14ac:dyDescent="0.2">
      <c r="A47" s="455">
        <v>59</v>
      </c>
      <c r="B47" s="451">
        <v>60</v>
      </c>
      <c r="C47" s="458">
        <v>60.052875175531177</v>
      </c>
      <c r="D47" s="461">
        <f t="shared" si="1"/>
        <v>64.736999439222615</v>
      </c>
      <c r="E47" s="451">
        <f t="shared" si="2"/>
        <v>73.751665515137915</v>
      </c>
      <c r="F47" s="458">
        <v>78.012227999999453</v>
      </c>
      <c r="G47" s="461">
        <f t="shared" si="3"/>
        <v>84.097181783999417</v>
      </c>
      <c r="H47" s="451">
        <f t="shared" si="4"/>
        <v>95.80776488601731</v>
      </c>
    </row>
    <row r="48" spans="1:13" ht="13.2" x14ac:dyDescent="0.2">
      <c r="A48" s="454">
        <v>60</v>
      </c>
      <c r="B48" s="450">
        <v>61</v>
      </c>
      <c r="C48" s="458">
        <v>63.286443189844903</v>
      </c>
      <c r="D48" s="461">
        <f t="shared" si="1"/>
        <v>68.222785758652805</v>
      </c>
      <c r="E48" s="463">
        <f t="shared" si="2"/>
        <v>77.72284967434841</v>
      </c>
      <c r="F48" s="458">
        <v>80.875452000000877</v>
      </c>
      <c r="G48" s="461">
        <f t="shared" si="3"/>
        <v>87.183737256000953</v>
      </c>
      <c r="H48" s="463">
        <f t="shared" si="4"/>
        <v>99.324125062375046</v>
      </c>
    </row>
    <row r="49" spans="1:8" ht="13.2" x14ac:dyDescent="0.2">
      <c r="A49" s="455">
        <v>61</v>
      </c>
      <c r="B49" s="451">
        <v>62</v>
      </c>
      <c r="C49" s="458">
        <v>66.544675663560383</v>
      </c>
      <c r="D49" s="461">
        <f t="shared" si="1"/>
        <v>71.735160365318094</v>
      </c>
      <c r="E49" s="451">
        <f t="shared" si="2"/>
        <v>81.72432455576984</v>
      </c>
      <c r="F49" s="458">
        <v>83.738675999999558</v>
      </c>
      <c r="G49" s="461">
        <f t="shared" si="3"/>
        <v>90.270292727999532</v>
      </c>
      <c r="H49" s="451">
        <f t="shared" si="4"/>
        <v>102.84048523872943</v>
      </c>
    </row>
    <row r="50" spans="1:8" ht="13.2" x14ac:dyDescent="0.2">
      <c r="A50" s="454">
        <v>62</v>
      </c>
      <c r="B50" s="450">
        <v>63</v>
      </c>
      <c r="C50" s="458">
        <v>69.827574144393481</v>
      </c>
      <c r="D50" s="461">
        <f t="shared" si="1"/>
        <v>75.274124927656175</v>
      </c>
      <c r="E50" s="451">
        <f t="shared" si="2"/>
        <v>85.756092060170857</v>
      </c>
      <c r="F50" s="458">
        <v>86.601900000000313</v>
      </c>
      <c r="G50" s="461">
        <f t="shared" si="3"/>
        <v>93.356848200000343</v>
      </c>
      <c r="H50" s="451">
        <f t="shared" si="4"/>
        <v>106.35684541508634</v>
      </c>
    </row>
    <row r="51" spans="1:8" ht="13.2" x14ac:dyDescent="0.2">
      <c r="A51" s="455">
        <v>63</v>
      </c>
      <c r="B51" s="451">
        <v>64</v>
      </c>
      <c r="C51" s="458">
        <v>73.135140189511574</v>
      </c>
      <c r="D51" s="461">
        <f t="shared" si="1"/>
        <v>78.839681124293477</v>
      </c>
      <c r="E51" s="451">
        <f t="shared" si="2"/>
        <v>89.818154099927625</v>
      </c>
      <c r="F51" s="458">
        <v>89.46512399999969</v>
      </c>
      <c r="G51" s="461">
        <f t="shared" si="3"/>
        <v>96.443403671999675</v>
      </c>
      <c r="H51" s="451">
        <f t="shared" si="4"/>
        <v>109.87320559144158</v>
      </c>
    </row>
    <row r="52" spans="1:8" ht="13.2" x14ac:dyDescent="0.2">
      <c r="A52" s="454">
        <v>64</v>
      </c>
      <c r="B52" s="450">
        <v>65</v>
      </c>
      <c r="C52" s="458">
        <v>76.467375365602493</v>
      </c>
      <c r="D52" s="461">
        <f t="shared" si="1"/>
        <v>82.431830644119486</v>
      </c>
      <c r="E52" s="451">
        <f t="shared" si="2"/>
        <v>93.910512599108515</v>
      </c>
      <c r="F52" s="458">
        <v>92.328347999999735</v>
      </c>
      <c r="G52" s="461">
        <f t="shared" si="3"/>
        <v>99.529959143999719</v>
      </c>
      <c r="H52" s="451">
        <f t="shared" si="4"/>
        <v>113.38956576779762</v>
      </c>
    </row>
    <row r="53" spans="1:8" ht="13.2" x14ac:dyDescent="0.2">
      <c r="A53" s="455">
        <v>65</v>
      </c>
      <c r="B53" s="451">
        <v>66</v>
      </c>
      <c r="C53" s="458">
        <v>79.824281248935435</v>
      </c>
      <c r="D53" s="461">
        <f t="shared" si="1"/>
        <v>86.050575186352404</v>
      </c>
      <c r="E53" s="463">
        <f t="shared" si="2"/>
        <v>98.033169493548883</v>
      </c>
      <c r="F53" s="458">
        <v>95.191572000000477</v>
      </c>
      <c r="G53" s="461">
        <f t="shared" si="3"/>
        <v>102.61651461600052</v>
      </c>
      <c r="H53" s="463">
        <f t="shared" si="4"/>
        <v>116.90592594415452</v>
      </c>
    </row>
    <row r="54" spans="1:8" ht="13.2" x14ac:dyDescent="0.2">
      <c r="A54" s="454">
        <v>66</v>
      </c>
      <c r="B54" s="450">
        <v>67</v>
      </c>
      <c r="C54" s="458">
        <v>83.205859425427676</v>
      </c>
      <c r="D54" s="461">
        <f t="shared" si="1"/>
        <v>89.695916460611045</v>
      </c>
      <c r="E54" s="451">
        <f t="shared" si="2"/>
        <v>102.18612673093298</v>
      </c>
      <c r="F54" s="458">
        <v>95.191572000000477</v>
      </c>
      <c r="G54" s="461">
        <f t="shared" si="3"/>
        <v>102.61651461600052</v>
      </c>
      <c r="H54" s="451">
        <f t="shared" si="4"/>
        <v>116.90592594415452</v>
      </c>
    </row>
    <row r="55" spans="1:8" ht="13.2" x14ac:dyDescent="0.2">
      <c r="A55" s="455">
        <v>67</v>
      </c>
      <c r="B55" s="451">
        <v>68</v>
      </c>
      <c r="C55" s="458">
        <v>86.612111490713957</v>
      </c>
      <c r="D55" s="461">
        <f t="shared" si="1"/>
        <v>93.367856186989655</v>
      </c>
      <c r="E55" s="451">
        <f t="shared" si="2"/>
        <v>106.36938627087922</v>
      </c>
      <c r="F55" s="458">
        <v>95.191572000000477</v>
      </c>
      <c r="G55" s="461">
        <f t="shared" si="3"/>
        <v>102.61651461600052</v>
      </c>
      <c r="H55" s="451">
        <f t="shared" si="4"/>
        <v>116.90592594415452</v>
      </c>
    </row>
    <row r="56" spans="1:8" ht="13.2" x14ac:dyDescent="0.2">
      <c r="A56" s="454">
        <v>68</v>
      </c>
      <c r="B56" s="450">
        <v>69</v>
      </c>
      <c r="C56" s="458">
        <v>90.043039050210638</v>
      </c>
      <c r="D56" s="461">
        <f t="shared" si="1"/>
        <v>97.066396096127079</v>
      </c>
      <c r="E56" s="451">
        <f t="shared" si="2"/>
        <v>110.58295008501894</v>
      </c>
      <c r="F56" s="458">
        <v>95.191572000000477</v>
      </c>
      <c r="G56" s="461">
        <f t="shared" si="3"/>
        <v>102.61651461600052</v>
      </c>
      <c r="H56" s="451">
        <f t="shared" si="4"/>
        <v>116.90592594415452</v>
      </c>
    </row>
    <row r="57" spans="1:8" ht="13.2" x14ac:dyDescent="0.2">
      <c r="A57" s="455">
        <v>69</v>
      </c>
      <c r="B57" s="451">
        <v>70</v>
      </c>
      <c r="C57" s="458">
        <v>93.498643719182951</v>
      </c>
      <c r="D57" s="461">
        <f t="shared" si="1"/>
        <v>100.79153792927923</v>
      </c>
      <c r="E57" s="451">
        <f t="shared" si="2"/>
        <v>114.82682015707898</v>
      </c>
      <c r="F57" s="458">
        <v>95.191572000000477</v>
      </c>
      <c r="G57" s="461">
        <f t="shared" si="3"/>
        <v>102.61651461600052</v>
      </c>
      <c r="H57" s="451">
        <f t="shared" si="4"/>
        <v>116.90592594415452</v>
      </c>
    </row>
    <row r="58" spans="1:8" ht="13.2" x14ac:dyDescent="0.2">
      <c r="A58" s="454">
        <v>70</v>
      </c>
      <c r="B58" s="450">
        <v>71</v>
      </c>
      <c r="C58" s="458">
        <v>96.978927122809637</v>
      </c>
      <c r="D58" s="461">
        <f t="shared" si="1"/>
        <v>104.5432834383888</v>
      </c>
      <c r="E58" s="463">
        <f t="shared" si="2"/>
        <v>119.10099848296113</v>
      </c>
      <c r="F58" s="458">
        <v>95.191572000000477</v>
      </c>
      <c r="G58" s="461">
        <f t="shared" si="3"/>
        <v>102.61651461600052</v>
      </c>
      <c r="H58" s="463">
        <f t="shared" si="4"/>
        <v>116.90592594415452</v>
      </c>
    </row>
    <row r="59" spans="1:8" ht="13.2" x14ac:dyDescent="0.2">
      <c r="A59" s="455">
        <v>71</v>
      </c>
      <c r="B59" s="451">
        <v>72</v>
      </c>
      <c r="C59" s="458">
        <v>100.48389089626096</v>
      </c>
      <c r="D59" s="461">
        <f t="shared" si="1"/>
        <v>108.32163438616932</v>
      </c>
      <c r="E59" s="451">
        <f t="shared" si="2"/>
        <v>123.40548707083782</v>
      </c>
      <c r="F59" s="458">
        <v>95.191572000000477</v>
      </c>
      <c r="G59" s="461">
        <f t="shared" si="3"/>
        <v>102.61651461600052</v>
      </c>
      <c r="H59" s="451">
        <f t="shared" si="4"/>
        <v>116.90592594415452</v>
      </c>
    </row>
    <row r="60" spans="1:8" ht="13.2" x14ac:dyDescent="0.2">
      <c r="A60" s="454">
        <v>72</v>
      </c>
      <c r="B60" s="450">
        <v>73</v>
      </c>
      <c r="C60" s="458">
        <v>104.01353668475825</v>
      </c>
      <c r="D60" s="461">
        <f t="shared" si="1"/>
        <v>112.12659254616941</v>
      </c>
      <c r="E60" s="451">
        <f t="shared" si="2"/>
        <v>127.74028794122538</v>
      </c>
      <c r="F60" s="458">
        <v>95.191572000000477</v>
      </c>
      <c r="G60" s="461">
        <f t="shared" si="3"/>
        <v>102.61651461600052</v>
      </c>
      <c r="H60" s="451">
        <f t="shared" si="4"/>
        <v>116.90592594415452</v>
      </c>
    </row>
    <row r="61" spans="1:8" ht="13.2" x14ac:dyDescent="0.2">
      <c r="A61" s="455">
        <v>73</v>
      </c>
      <c r="B61" s="451">
        <v>74</v>
      </c>
      <c r="C61" s="458">
        <v>107.56786614364455</v>
      </c>
      <c r="D61" s="461">
        <f t="shared" si="1"/>
        <v>115.95815970284883</v>
      </c>
      <c r="E61" s="451">
        <f t="shared" si="2"/>
        <v>132.10540312707067</v>
      </c>
      <c r="F61" s="458">
        <v>95.191572000000477</v>
      </c>
      <c r="G61" s="461">
        <f t="shared" si="3"/>
        <v>102.61651461600052</v>
      </c>
      <c r="H61" s="451">
        <f t="shared" si="4"/>
        <v>116.90592594415452</v>
      </c>
    </row>
    <row r="62" spans="1:8" ht="13.2" x14ac:dyDescent="0.2">
      <c r="A62" s="454">
        <v>74</v>
      </c>
      <c r="B62" s="450">
        <v>75</v>
      </c>
      <c r="C62" s="458">
        <v>111.14688093845866</v>
      </c>
      <c r="D62" s="461">
        <f t="shared" si="1"/>
        <v>119.81633765165844</v>
      </c>
      <c r="E62" s="451">
        <f t="shared" si="2"/>
        <v>136.50083467384218</v>
      </c>
      <c r="F62" s="458">
        <v>95.191572000000477</v>
      </c>
      <c r="G62" s="461">
        <f t="shared" si="3"/>
        <v>102.61651461600052</v>
      </c>
      <c r="H62" s="451">
        <f t="shared" si="4"/>
        <v>116.90592594415452</v>
      </c>
    </row>
    <row r="63" spans="1:8" ht="13.2" x14ac:dyDescent="0.2">
      <c r="A63" s="455">
        <v>75</v>
      </c>
      <c r="B63" s="451">
        <v>76</v>
      </c>
      <c r="C63" s="458">
        <v>114.75058274500168</v>
      </c>
      <c r="D63" s="461">
        <f t="shared" si="1"/>
        <v>123.70112819911182</v>
      </c>
      <c r="E63" s="463">
        <f t="shared" si="2"/>
        <v>140.92658463961152</v>
      </c>
      <c r="F63" s="458">
        <v>95.191572000000477</v>
      </c>
      <c r="G63" s="461">
        <f t="shared" si="3"/>
        <v>102.61651461600052</v>
      </c>
      <c r="H63" s="463">
        <f t="shared" si="4"/>
        <v>116.90592594415452</v>
      </c>
    </row>
    <row r="64" spans="1:8" ht="13.2" x14ac:dyDescent="0.2">
      <c r="A64" s="454">
        <v>76</v>
      </c>
      <c r="B64" s="450">
        <v>77</v>
      </c>
      <c r="C64" s="458">
        <v>116.66304042872403</v>
      </c>
      <c r="D64" s="461">
        <f t="shared" si="1"/>
        <v>125.76275758216451</v>
      </c>
      <c r="E64" s="451">
        <f t="shared" si="2"/>
        <v>143.27529715320017</v>
      </c>
      <c r="F64" s="458">
        <v>95.191572000000477</v>
      </c>
      <c r="G64" s="461">
        <f t="shared" si="3"/>
        <v>102.61651461600052</v>
      </c>
      <c r="H64" s="451">
        <f t="shared" si="4"/>
        <v>116.90592594415452</v>
      </c>
    </row>
    <row r="65" spans="1:25" ht="13.2" x14ac:dyDescent="0.2">
      <c r="A65" s="455">
        <v>77</v>
      </c>
      <c r="B65" s="451">
        <v>78</v>
      </c>
      <c r="C65" s="458">
        <v>118.61511077911234</v>
      </c>
      <c r="D65" s="461">
        <f t="shared" si="1"/>
        <v>127.86708941988311</v>
      </c>
      <c r="E65" s="451">
        <f t="shared" si="2"/>
        <v>145.67265846392917</v>
      </c>
      <c r="F65" s="458">
        <v>95.191572000000477</v>
      </c>
      <c r="G65" s="461">
        <f t="shared" si="3"/>
        <v>102.61651461600052</v>
      </c>
      <c r="H65" s="451">
        <f t="shared" si="4"/>
        <v>116.90592594415452</v>
      </c>
    </row>
    <row r="66" spans="1:25" ht="13.2" x14ac:dyDescent="0.2">
      <c r="A66" s="454">
        <v>78</v>
      </c>
      <c r="B66" s="450">
        <v>79</v>
      </c>
      <c r="C66" s="458">
        <v>120.60679379616427</v>
      </c>
      <c r="D66" s="461">
        <f t="shared" si="1"/>
        <v>130.0141237122651</v>
      </c>
      <c r="E66" s="451">
        <f t="shared" si="2"/>
        <v>148.11866857179569</v>
      </c>
      <c r="F66" s="458">
        <v>95.191572000000477</v>
      </c>
      <c r="G66" s="461">
        <f t="shared" si="3"/>
        <v>102.61651461600052</v>
      </c>
      <c r="H66" s="451">
        <f t="shared" si="4"/>
        <v>116.90592594415452</v>
      </c>
    </row>
    <row r="67" spans="1:25" ht="13.2" x14ac:dyDescent="0.2">
      <c r="A67" s="455">
        <v>79</v>
      </c>
      <c r="B67" s="451">
        <v>80</v>
      </c>
      <c r="C67" s="458">
        <v>122.63808947988169</v>
      </c>
      <c r="D67" s="461">
        <f t="shared" si="1"/>
        <v>132.20386045931247</v>
      </c>
      <c r="E67" s="451">
        <f t="shared" si="2"/>
        <v>150.61332747680197</v>
      </c>
      <c r="F67" s="458">
        <v>95.191572000000477</v>
      </c>
      <c r="G67" s="461">
        <f t="shared" si="3"/>
        <v>102.61651461600052</v>
      </c>
      <c r="H67" s="451">
        <f t="shared" si="4"/>
        <v>116.90592594415452</v>
      </c>
    </row>
    <row r="68" spans="1:25" ht="13.8" thickBot="1" x14ac:dyDescent="0.25">
      <c r="A68" s="456">
        <v>80</v>
      </c>
      <c r="B68" s="452">
        <v>81</v>
      </c>
      <c r="C68" s="459">
        <v>124.70899783026459</v>
      </c>
      <c r="D68" s="461">
        <f t="shared" si="1"/>
        <v>134.43629966102523</v>
      </c>
      <c r="E68" s="463">
        <f t="shared" si="2"/>
        <v>153.15663517894805</v>
      </c>
      <c r="F68" s="459">
        <v>95.191572000000477</v>
      </c>
      <c r="G68" s="461">
        <f t="shared" si="3"/>
        <v>102.61651461600052</v>
      </c>
      <c r="H68" s="463">
        <f t="shared" si="4"/>
        <v>116.90592594415452</v>
      </c>
    </row>
    <row r="75" spans="1:25" ht="13.2" x14ac:dyDescent="0.25">
      <c r="A75" s="319" t="s">
        <v>186</v>
      </c>
      <c r="B75" s="320"/>
      <c r="C75" s="321" t="s">
        <v>187</v>
      </c>
      <c r="D75" s="320"/>
      <c r="E75" s="320"/>
      <c r="F75" s="320"/>
    </row>
    <row r="76" spans="1:25" ht="13.8" thickBot="1" x14ac:dyDescent="0.3">
      <c r="A76" s="320"/>
      <c r="B76" s="320"/>
      <c r="C76" s="320"/>
      <c r="D76" s="320"/>
      <c r="E76" s="320"/>
      <c r="F76" s="320"/>
      <c r="I76" s="320"/>
      <c r="J76" s="319" t="s">
        <v>204</v>
      </c>
      <c r="K76" s="320"/>
      <c r="L76" s="321" t="s">
        <v>205</v>
      </c>
      <c r="M76" s="320"/>
      <c r="N76" s="320"/>
      <c r="O76" s="320"/>
      <c r="P76" s="320"/>
      <c r="Q76" s="320"/>
      <c r="R76" s="320"/>
      <c r="S76" s="320"/>
      <c r="T76" s="320"/>
      <c r="U76" s="320"/>
      <c r="V76" s="320"/>
      <c r="W76" s="320"/>
      <c r="X76" s="320"/>
    </row>
    <row r="77" spans="1:25" ht="13.8" thickBot="1" x14ac:dyDescent="0.25">
      <c r="A77" s="606" t="s">
        <v>2</v>
      </c>
      <c r="B77" s="608" t="s">
        <v>179</v>
      </c>
      <c r="C77" s="609"/>
      <c r="D77" s="609"/>
      <c r="E77" s="609"/>
      <c r="F77" s="610"/>
      <c r="I77" s="320"/>
      <c r="J77" s="320"/>
      <c r="K77" s="320"/>
      <c r="L77" s="320"/>
      <c r="M77" s="320"/>
      <c r="N77" s="320"/>
      <c r="O77" s="320"/>
      <c r="P77" s="320"/>
      <c r="Q77" s="320"/>
      <c r="R77" s="320"/>
      <c r="S77" s="320"/>
      <c r="T77" s="320"/>
      <c r="U77" s="320"/>
      <c r="V77" s="320"/>
      <c r="W77" s="320"/>
      <c r="X77" s="320"/>
    </row>
    <row r="78" spans="1:25" ht="13.8" thickBot="1" x14ac:dyDescent="0.25">
      <c r="A78" s="607"/>
      <c r="B78" s="322" t="s">
        <v>180</v>
      </c>
      <c r="C78" s="322" t="s">
        <v>181</v>
      </c>
      <c r="D78" s="322" t="s">
        <v>182</v>
      </c>
      <c r="E78" s="322" t="s">
        <v>183</v>
      </c>
      <c r="F78" s="322" t="s">
        <v>184</v>
      </c>
      <c r="I78" s="320"/>
      <c r="J78" s="329" t="s">
        <v>190</v>
      </c>
      <c r="K78" s="330" t="s">
        <v>35</v>
      </c>
      <c r="L78" s="330" t="s">
        <v>191</v>
      </c>
      <c r="M78" s="330" t="s">
        <v>192</v>
      </c>
      <c r="N78" s="330" t="s">
        <v>193</v>
      </c>
      <c r="O78" s="330" t="s">
        <v>194</v>
      </c>
      <c r="P78" s="330" t="s">
        <v>195</v>
      </c>
      <c r="Q78" s="320"/>
      <c r="R78" s="320"/>
      <c r="S78" s="331" t="s">
        <v>247</v>
      </c>
      <c r="T78" s="320"/>
      <c r="U78" s="320"/>
      <c r="V78" s="320"/>
      <c r="W78" s="320"/>
      <c r="X78" s="320"/>
    </row>
    <row r="79" spans="1:25" ht="13.8" thickBot="1" x14ac:dyDescent="0.25">
      <c r="A79" s="323" t="s">
        <v>10</v>
      </c>
      <c r="B79" s="324">
        <v>120</v>
      </c>
      <c r="C79" s="324">
        <v>205</v>
      </c>
      <c r="D79" s="324">
        <v>291</v>
      </c>
      <c r="E79" s="324">
        <v>429</v>
      </c>
      <c r="F79" s="324">
        <v>558</v>
      </c>
      <c r="I79" s="320"/>
      <c r="J79" s="332">
        <v>1</v>
      </c>
      <c r="K79" s="333" t="s">
        <v>196</v>
      </c>
      <c r="L79" s="334">
        <v>28</v>
      </c>
      <c r="M79" s="334">
        <v>14</v>
      </c>
      <c r="N79" s="334">
        <v>1</v>
      </c>
      <c r="O79" s="334">
        <v>1</v>
      </c>
      <c r="P79" s="334">
        <v>14</v>
      </c>
      <c r="Q79" s="320"/>
      <c r="R79" s="320"/>
      <c r="S79" s="320"/>
      <c r="T79" s="320"/>
      <c r="U79" s="320"/>
      <c r="V79" s="320"/>
      <c r="W79" s="320"/>
      <c r="X79" s="320"/>
    </row>
    <row r="80" spans="1:25" ht="27" thickBot="1" x14ac:dyDescent="0.25">
      <c r="A80" s="323" t="s">
        <v>11</v>
      </c>
      <c r="B80" s="324">
        <v>110</v>
      </c>
      <c r="C80" s="324">
        <v>188</v>
      </c>
      <c r="D80" s="324">
        <v>266</v>
      </c>
      <c r="E80" s="324">
        <v>394</v>
      </c>
      <c r="F80" s="324">
        <v>513</v>
      </c>
      <c r="I80" s="320"/>
      <c r="J80" s="332">
        <v>2</v>
      </c>
      <c r="K80" s="333" t="s">
        <v>197</v>
      </c>
      <c r="L80" s="334">
        <v>510</v>
      </c>
      <c r="M80" s="334">
        <v>265</v>
      </c>
      <c r="N80" s="334">
        <v>19</v>
      </c>
      <c r="O80" s="334">
        <v>11</v>
      </c>
      <c r="P80" s="334">
        <v>259</v>
      </c>
      <c r="Q80" s="320"/>
      <c r="R80" s="320"/>
      <c r="S80" s="335" t="s">
        <v>35</v>
      </c>
      <c r="T80" s="336" t="s">
        <v>36</v>
      </c>
      <c r="U80" s="320"/>
      <c r="V80" s="320"/>
      <c r="W80" s="320"/>
      <c r="X80" s="320"/>
      <c r="Y80" s="11" t="s">
        <v>250</v>
      </c>
    </row>
    <row r="81" spans="1:24" ht="13.8" thickBot="1" x14ac:dyDescent="0.25">
      <c r="A81" s="323" t="s">
        <v>14</v>
      </c>
      <c r="B81" s="324">
        <v>113</v>
      </c>
      <c r="C81" s="324">
        <v>194</v>
      </c>
      <c r="D81" s="324">
        <v>275</v>
      </c>
      <c r="E81" s="324">
        <v>406</v>
      </c>
      <c r="F81" s="324">
        <v>529</v>
      </c>
      <c r="I81" s="320"/>
      <c r="J81" s="332">
        <v>3</v>
      </c>
      <c r="K81" s="333" t="s">
        <v>198</v>
      </c>
      <c r="L81" s="334">
        <v>831</v>
      </c>
      <c r="M81" s="334">
        <v>431</v>
      </c>
      <c r="N81" s="334">
        <v>31</v>
      </c>
      <c r="O81" s="334">
        <v>17</v>
      </c>
      <c r="P81" s="334">
        <v>422</v>
      </c>
      <c r="Q81" s="320"/>
      <c r="R81" s="320"/>
      <c r="S81" s="337" t="s">
        <v>37</v>
      </c>
      <c r="T81" s="338">
        <v>63</v>
      </c>
      <c r="U81" s="320"/>
      <c r="V81" s="320"/>
      <c r="W81" s="320"/>
      <c r="X81" s="320"/>
    </row>
    <row r="82" spans="1:24" ht="13.8" thickBot="1" x14ac:dyDescent="0.25">
      <c r="A82" s="323" t="s">
        <v>20</v>
      </c>
      <c r="B82" s="324">
        <v>117</v>
      </c>
      <c r="C82" s="324">
        <v>200</v>
      </c>
      <c r="D82" s="324">
        <v>283</v>
      </c>
      <c r="E82" s="324">
        <v>414</v>
      </c>
      <c r="F82" s="324">
        <v>537</v>
      </c>
      <c r="I82" s="320"/>
      <c r="J82" s="332">
        <v>4</v>
      </c>
      <c r="K82" s="333" t="s">
        <v>199</v>
      </c>
      <c r="L82" s="334">
        <v>1975</v>
      </c>
      <c r="M82" s="334">
        <v>1024</v>
      </c>
      <c r="N82" s="334">
        <v>74</v>
      </c>
      <c r="O82" s="334">
        <v>41</v>
      </c>
      <c r="P82" s="334">
        <v>1003</v>
      </c>
      <c r="Q82" s="320"/>
      <c r="R82" s="320"/>
      <c r="S82" s="337" t="s">
        <v>38</v>
      </c>
      <c r="T82" s="338">
        <v>142</v>
      </c>
      <c r="U82" s="320"/>
      <c r="V82" s="320"/>
      <c r="W82" s="320"/>
      <c r="X82" s="320"/>
    </row>
    <row r="83" spans="1:24" ht="27" thickBot="1" x14ac:dyDescent="0.25">
      <c r="A83" s="325" t="s">
        <v>185</v>
      </c>
      <c r="B83" s="326">
        <v>125</v>
      </c>
      <c r="C83" s="326">
        <v>214</v>
      </c>
      <c r="D83" s="326">
        <v>303</v>
      </c>
      <c r="E83" s="326">
        <v>447</v>
      </c>
      <c r="F83" s="326">
        <v>582</v>
      </c>
      <c r="I83" s="320"/>
      <c r="J83" s="332">
        <v>5</v>
      </c>
      <c r="K83" s="333" t="s">
        <v>200</v>
      </c>
      <c r="L83" s="334">
        <v>3007</v>
      </c>
      <c r="M83" s="334">
        <v>1560</v>
      </c>
      <c r="N83" s="334">
        <v>113</v>
      </c>
      <c r="O83" s="334">
        <v>63</v>
      </c>
      <c r="P83" s="334">
        <v>1528</v>
      </c>
      <c r="Q83" s="320"/>
      <c r="R83" s="320"/>
      <c r="S83" s="337" t="s">
        <v>39</v>
      </c>
      <c r="T83" s="338">
        <v>63</v>
      </c>
      <c r="U83" s="320"/>
      <c r="V83" s="320"/>
      <c r="W83" s="320"/>
      <c r="X83" s="320"/>
    </row>
    <row r="84" spans="1:24" ht="13.8" thickBot="1" x14ac:dyDescent="0.25">
      <c r="A84" s="320"/>
      <c r="B84" s="320"/>
      <c r="C84" s="320"/>
      <c r="D84" s="320"/>
      <c r="E84" s="320"/>
      <c r="F84" s="320"/>
      <c r="I84" s="320"/>
      <c r="J84" s="332">
        <v>6</v>
      </c>
      <c r="K84" s="333" t="s">
        <v>201</v>
      </c>
      <c r="L84" s="334">
        <v>2035</v>
      </c>
      <c r="M84" s="334">
        <v>1056</v>
      </c>
      <c r="N84" s="334">
        <v>76</v>
      </c>
      <c r="O84" s="334">
        <v>43</v>
      </c>
      <c r="P84" s="334">
        <v>1034</v>
      </c>
      <c r="Q84" s="320"/>
      <c r="R84" s="320"/>
      <c r="S84" s="337" t="s">
        <v>40</v>
      </c>
      <c r="T84" s="338">
        <v>311</v>
      </c>
      <c r="U84" s="320"/>
      <c r="V84" s="320"/>
      <c r="W84" s="320"/>
      <c r="X84" s="320"/>
    </row>
    <row r="85" spans="1:24" ht="13.8" thickBot="1" x14ac:dyDescent="0.25">
      <c r="A85" s="320"/>
      <c r="B85" s="320"/>
      <c r="C85" s="320"/>
      <c r="D85" s="320"/>
      <c r="E85" s="320"/>
      <c r="F85" s="320"/>
      <c r="I85" s="320"/>
      <c r="J85" s="339">
        <v>7</v>
      </c>
      <c r="K85" s="340" t="s">
        <v>202</v>
      </c>
      <c r="L85" s="341">
        <v>2194</v>
      </c>
      <c r="M85" s="341">
        <v>1138</v>
      </c>
      <c r="N85" s="341">
        <v>82</v>
      </c>
      <c r="O85" s="341">
        <v>46</v>
      </c>
      <c r="P85" s="341">
        <v>1115</v>
      </c>
      <c r="Q85" s="320"/>
      <c r="R85" s="320"/>
      <c r="S85" s="337" t="s">
        <v>41</v>
      </c>
      <c r="T85" s="338">
        <v>82</v>
      </c>
      <c r="U85" s="320"/>
      <c r="V85" s="320"/>
      <c r="W85" s="320"/>
      <c r="X85" s="320"/>
    </row>
    <row r="86" spans="1:24" ht="13.8" thickBot="1" x14ac:dyDescent="0.25">
      <c r="A86" s="320"/>
      <c r="B86" s="320"/>
      <c r="C86" s="320"/>
      <c r="D86" s="320"/>
      <c r="E86" s="320"/>
      <c r="F86" s="320"/>
      <c r="I86" s="320"/>
      <c r="J86" s="320"/>
      <c r="K86" s="320"/>
      <c r="L86" s="320"/>
      <c r="M86" s="320"/>
      <c r="N86" s="320"/>
      <c r="O86" s="320"/>
      <c r="P86" s="320"/>
      <c r="Q86" s="320"/>
      <c r="R86" s="320"/>
      <c r="S86" s="337" t="s">
        <v>42</v>
      </c>
      <c r="T86" s="338">
        <v>100</v>
      </c>
      <c r="U86" s="320"/>
      <c r="V86" s="320"/>
      <c r="W86" s="320"/>
      <c r="X86" s="320"/>
    </row>
    <row r="87" spans="1:24" ht="13.8" thickBot="1" x14ac:dyDescent="0.25">
      <c r="A87" s="320"/>
      <c r="B87" s="320"/>
      <c r="C87" s="320"/>
      <c r="D87" s="320"/>
      <c r="E87" s="320"/>
      <c r="F87" s="320"/>
      <c r="I87" s="320"/>
      <c r="J87" s="320"/>
      <c r="K87" s="320"/>
      <c r="L87" s="320"/>
      <c r="M87" s="320"/>
      <c r="N87" s="320"/>
      <c r="O87" s="320"/>
      <c r="P87" s="320"/>
      <c r="Q87" s="320"/>
      <c r="R87" s="320"/>
      <c r="S87" s="337" t="s">
        <v>43</v>
      </c>
      <c r="T87" s="338">
        <v>61</v>
      </c>
      <c r="U87" s="320"/>
      <c r="V87" s="320"/>
      <c r="W87" s="320"/>
      <c r="X87" s="320"/>
    </row>
    <row r="88" spans="1:24" ht="13.8" thickBot="1" x14ac:dyDescent="0.25">
      <c r="A88" s="319" t="s">
        <v>188</v>
      </c>
      <c r="B88" s="319" t="s">
        <v>189</v>
      </c>
      <c r="C88" s="320"/>
      <c r="D88" s="320"/>
      <c r="E88" s="320"/>
      <c r="F88" s="320"/>
      <c r="I88" s="320"/>
      <c r="J88" s="320"/>
      <c r="K88" s="320"/>
      <c r="L88" s="320"/>
      <c r="M88" s="320"/>
      <c r="N88" s="320"/>
      <c r="O88" s="320"/>
      <c r="P88" s="320"/>
      <c r="Q88" s="320"/>
      <c r="R88" s="320"/>
      <c r="S88" s="337" t="s">
        <v>44</v>
      </c>
      <c r="T88" s="338">
        <v>90</v>
      </c>
      <c r="U88" s="320"/>
      <c r="V88" s="320"/>
      <c r="W88" s="320"/>
      <c r="X88" s="320"/>
    </row>
    <row r="89" spans="1:24" ht="10.8" thickBot="1" x14ac:dyDescent="0.25">
      <c r="A89" s="320"/>
      <c r="B89" s="320"/>
      <c r="C89" s="320"/>
      <c r="D89" s="320"/>
      <c r="E89" s="320"/>
      <c r="F89" s="320"/>
      <c r="I89" s="320"/>
      <c r="J89" s="319" t="s">
        <v>203</v>
      </c>
      <c r="K89" s="320"/>
      <c r="L89" s="320"/>
      <c r="M89" s="320"/>
      <c r="N89" s="320"/>
      <c r="O89" s="320"/>
      <c r="P89" s="320"/>
      <c r="Q89" s="320"/>
      <c r="R89" s="320"/>
      <c r="S89" s="320"/>
      <c r="T89" s="320"/>
      <c r="U89" s="320"/>
      <c r="V89" s="320"/>
      <c r="W89" s="320"/>
      <c r="X89" s="320"/>
    </row>
    <row r="90" spans="1:24" ht="13.8" thickBot="1" x14ac:dyDescent="0.25">
      <c r="A90" s="606" t="s">
        <v>2</v>
      </c>
      <c r="B90" s="608" t="s">
        <v>179</v>
      </c>
      <c r="C90" s="609"/>
      <c r="D90" s="609"/>
      <c r="E90" s="609"/>
      <c r="F90" s="610"/>
      <c r="I90" s="320"/>
      <c r="J90" s="320"/>
      <c r="K90" s="320"/>
      <c r="L90" s="320"/>
      <c r="M90" s="320"/>
      <c r="N90" s="320"/>
      <c r="O90" s="320"/>
      <c r="P90" s="320"/>
      <c r="Q90" s="320"/>
      <c r="R90" s="320"/>
      <c r="S90" s="320"/>
      <c r="T90" s="320"/>
      <c r="U90" s="320"/>
      <c r="V90" s="320"/>
      <c r="W90" s="320"/>
      <c r="X90" s="320"/>
    </row>
    <row r="91" spans="1:24" ht="13.8" thickBot="1" x14ac:dyDescent="0.25">
      <c r="A91" s="607"/>
      <c r="B91" s="322" t="s">
        <v>180</v>
      </c>
      <c r="C91" s="322" t="s">
        <v>181</v>
      </c>
      <c r="D91" s="322" t="s">
        <v>182</v>
      </c>
      <c r="E91" s="322" t="s">
        <v>183</v>
      </c>
      <c r="F91" s="322" t="s">
        <v>184</v>
      </c>
      <c r="I91" s="320"/>
      <c r="J91" s="329" t="s">
        <v>190</v>
      </c>
      <c r="K91" s="330" t="s">
        <v>35</v>
      </c>
      <c r="L91" s="330" t="s">
        <v>191</v>
      </c>
      <c r="M91" s="330" t="s">
        <v>192</v>
      </c>
      <c r="N91" s="330" t="s">
        <v>193</v>
      </c>
      <c r="O91" s="330" t="s">
        <v>194</v>
      </c>
      <c r="P91" s="330" t="s">
        <v>195</v>
      </c>
      <c r="Q91" s="320"/>
      <c r="R91" s="320"/>
      <c r="S91" s="319" t="s">
        <v>248</v>
      </c>
      <c r="T91" s="320"/>
      <c r="U91" s="320"/>
      <c r="V91" s="320"/>
      <c r="W91" s="320"/>
      <c r="X91" s="320"/>
    </row>
    <row r="92" spans="1:24" ht="13.8" thickBot="1" x14ac:dyDescent="0.25">
      <c r="A92" s="323" t="s">
        <v>10</v>
      </c>
      <c r="B92" s="327">
        <f>B79*FR_factor10</f>
        <v>133.90749601275917</v>
      </c>
      <c r="C92" s="327">
        <f>C79*FR_factor10</f>
        <v>228.75863902179691</v>
      </c>
      <c r="D92" s="327">
        <f>D79*FR_factor10</f>
        <v>324.72567783094098</v>
      </c>
      <c r="E92" s="327">
        <f>E79*FR_factor10</f>
        <v>478.71929824561403</v>
      </c>
      <c r="F92" s="327">
        <f>F79*FR_factor10</f>
        <v>622.66985645933016</v>
      </c>
      <c r="I92" s="320"/>
      <c r="J92" s="332">
        <v>1</v>
      </c>
      <c r="K92" s="333" t="s">
        <v>196</v>
      </c>
      <c r="L92" s="342">
        <f t="shared" ref="L92:P98" si="5">L79*factor01</f>
        <v>38.65077910174152</v>
      </c>
      <c r="M92" s="342">
        <f t="shared" si="5"/>
        <v>19.32538955087076</v>
      </c>
      <c r="N92" s="342">
        <f t="shared" si="5"/>
        <v>1.3803849679193401</v>
      </c>
      <c r="O92" s="342">
        <f t="shared" si="5"/>
        <v>1.3803849679193401</v>
      </c>
      <c r="P92" s="342">
        <f t="shared" si="5"/>
        <v>19.32538955087076</v>
      </c>
      <c r="Q92" s="320"/>
      <c r="R92" s="320"/>
      <c r="S92" s="343" t="s">
        <v>249</v>
      </c>
      <c r="T92" s="320">
        <v>1.23</v>
      </c>
      <c r="U92" s="320"/>
      <c r="V92" s="320"/>
      <c r="W92" s="320"/>
      <c r="X92" s="320"/>
    </row>
    <row r="93" spans="1:24" ht="27" thickBot="1" x14ac:dyDescent="0.25">
      <c r="A93" s="323" t="s">
        <v>11</v>
      </c>
      <c r="B93" s="327">
        <f>B80*DE_factor08</f>
        <v>126.96936542669583</v>
      </c>
      <c r="C93" s="327">
        <f>C80*DE_factor08</f>
        <v>217.00218818380742</v>
      </c>
      <c r="D93" s="327">
        <f>D80*DE_factor08</f>
        <v>307.03501094091899</v>
      </c>
      <c r="E93" s="327">
        <f>E80*DE_factor08</f>
        <v>454.78118161925596</v>
      </c>
      <c r="F93" s="327">
        <f>F80*DE_factor08</f>
        <v>592.13894967177237</v>
      </c>
      <c r="I93" s="320"/>
      <c r="J93" s="332">
        <v>2</v>
      </c>
      <c r="K93" s="333" t="s">
        <v>197</v>
      </c>
      <c r="L93" s="342">
        <f t="shared" si="5"/>
        <v>703.99633363886346</v>
      </c>
      <c r="M93" s="342">
        <f t="shared" si="5"/>
        <v>365.80201649862511</v>
      </c>
      <c r="N93" s="342">
        <f t="shared" si="5"/>
        <v>26.227314390467463</v>
      </c>
      <c r="O93" s="342">
        <f t="shared" si="5"/>
        <v>15.18423464711274</v>
      </c>
      <c r="P93" s="342">
        <f t="shared" si="5"/>
        <v>357.51970669110909</v>
      </c>
      <c r="Q93" s="320"/>
      <c r="R93" s="320"/>
      <c r="S93" s="344" t="s">
        <v>35</v>
      </c>
      <c r="T93" s="345" t="s">
        <v>36</v>
      </c>
      <c r="U93" s="320"/>
      <c r="V93" s="320"/>
      <c r="W93" s="320"/>
      <c r="X93" s="320"/>
    </row>
    <row r="94" spans="1:24" ht="13.2" x14ac:dyDescent="0.2">
      <c r="A94" s="323" t="s">
        <v>14</v>
      </c>
      <c r="B94" s="327">
        <f>B81*IT_factor08</f>
        <v>129</v>
      </c>
      <c r="C94" s="327">
        <f>C81*IT_factor08</f>
        <v>221.46902654867256</v>
      </c>
      <c r="D94" s="327">
        <f>D81*IT_factor08</f>
        <v>313.93805309734512</v>
      </c>
      <c r="E94" s="327">
        <f>E81*IT_factor08</f>
        <v>463.48672566371681</v>
      </c>
      <c r="F94" s="327">
        <f>F81*IT_factor08</f>
        <v>603.90265486725662</v>
      </c>
      <c r="I94" s="320"/>
      <c r="J94" s="332">
        <v>3</v>
      </c>
      <c r="K94" s="333" t="s">
        <v>198</v>
      </c>
      <c r="L94" s="342">
        <f t="shared" si="5"/>
        <v>1147.0999083409715</v>
      </c>
      <c r="M94" s="342">
        <f t="shared" si="5"/>
        <v>594.94592117323555</v>
      </c>
      <c r="N94" s="342">
        <f t="shared" si="5"/>
        <v>42.791934005499542</v>
      </c>
      <c r="O94" s="342">
        <f t="shared" si="5"/>
        <v>23.466544454628782</v>
      </c>
      <c r="P94" s="342">
        <f t="shared" si="5"/>
        <v>582.5224564619615</v>
      </c>
      <c r="Q94" s="320"/>
      <c r="R94" s="320"/>
      <c r="S94" s="323" t="s">
        <v>243</v>
      </c>
      <c r="T94" s="327">
        <f t="shared" ref="T94:T100" si="6">T81*$T$92</f>
        <v>77.489999999999995</v>
      </c>
      <c r="U94" s="320"/>
      <c r="V94" s="320"/>
      <c r="W94" s="320"/>
      <c r="X94" s="320"/>
    </row>
    <row r="95" spans="1:24" ht="13.2" x14ac:dyDescent="0.2">
      <c r="A95" s="323" t="s">
        <v>20</v>
      </c>
      <c r="B95" s="327">
        <f>B82*SP_factor08</f>
        <v>132.00324640190456</v>
      </c>
      <c r="C95" s="327">
        <f>C82*SP_factor08</f>
        <v>225.64657504599072</v>
      </c>
      <c r="D95" s="327">
        <f>D82*SP_factor08</f>
        <v>319.28990369007687</v>
      </c>
      <c r="E95" s="327">
        <f>E82*SP_factor08</f>
        <v>467.08841034520077</v>
      </c>
      <c r="F95" s="327">
        <f>F82*SP_factor08</f>
        <v>605.86105399848509</v>
      </c>
      <c r="I95" s="320"/>
      <c r="J95" s="332">
        <v>4</v>
      </c>
      <c r="K95" s="333" t="s">
        <v>199</v>
      </c>
      <c r="L95" s="342">
        <f t="shared" si="5"/>
        <v>2726.2603116406967</v>
      </c>
      <c r="M95" s="342">
        <f t="shared" si="5"/>
        <v>1413.5142071494042</v>
      </c>
      <c r="N95" s="342">
        <f t="shared" si="5"/>
        <v>102.14848762603117</v>
      </c>
      <c r="O95" s="342">
        <f t="shared" si="5"/>
        <v>56.59578368469294</v>
      </c>
      <c r="P95" s="342">
        <f t="shared" si="5"/>
        <v>1384.5261228230981</v>
      </c>
      <c r="Q95" s="320"/>
      <c r="R95" s="320"/>
      <c r="S95" s="323" t="s">
        <v>157</v>
      </c>
      <c r="T95" s="327">
        <f t="shared" si="6"/>
        <v>174.66</v>
      </c>
      <c r="U95" s="320"/>
      <c r="V95" s="320"/>
      <c r="W95" s="320"/>
      <c r="X95" s="320"/>
    </row>
    <row r="96" spans="1:24" ht="27" thickBot="1" x14ac:dyDescent="0.25">
      <c r="A96" s="325" t="s">
        <v>185</v>
      </c>
      <c r="B96" s="328">
        <f>B83*UK_factor08</f>
        <v>159.09090909090909</v>
      </c>
      <c r="C96" s="328">
        <f>C83*UK_factor08</f>
        <v>272.36363636363637</v>
      </c>
      <c r="D96" s="328">
        <f>D83*UK_factor08</f>
        <v>385.63636363636363</v>
      </c>
      <c r="E96" s="328">
        <f>E83*UK_factor08</f>
        <v>568.90909090909088</v>
      </c>
      <c r="F96" s="328">
        <f>F83*UK_factor08</f>
        <v>740.72727272727275</v>
      </c>
      <c r="I96" s="320"/>
      <c r="J96" s="332">
        <v>5</v>
      </c>
      <c r="K96" s="333" t="s">
        <v>200</v>
      </c>
      <c r="L96" s="342">
        <f t="shared" si="5"/>
        <v>4150.8175985334556</v>
      </c>
      <c r="M96" s="342">
        <f t="shared" si="5"/>
        <v>2153.4005499541704</v>
      </c>
      <c r="N96" s="342">
        <f t="shared" si="5"/>
        <v>155.98350137488544</v>
      </c>
      <c r="O96" s="342">
        <f t="shared" si="5"/>
        <v>86.964252978918424</v>
      </c>
      <c r="P96" s="342">
        <f t="shared" si="5"/>
        <v>2109.2282309807515</v>
      </c>
      <c r="Q96" s="320"/>
      <c r="R96" s="320"/>
      <c r="S96" s="323" t="s">
        <v>244</v>
      </c>
      <c r="T96" s="327">
        <f t="shared" si="6"/>
        <v>77.489999999999995</v>
      </c>
      <c r="U96" s="320"/>
      <c r="V96" s="320"/>
      <c r="W96" s="320"/>
      <c r="X96" s="320"/>
    </row>
    <row r="97" spans="1:24" ht="13.2" x14ac:dyDescent="0.2">
      <c r="A97" s="320"/>
      <c r="B97" s="320"/>
      <c r="C97" s="320"/>
      <c r="D97" s="320"/>
      <c r="E97" s="320"/>
      <c r="F97" s="320"/>
      <c r="I97" s="320"/>
      <c r="J97" s="332">
        <v>6</v>
      </c>
      <c r="K97" s="333" t="s">
        <v>201</v>
      </c>
      <c r="L97" s="342">
        <f t="shared" si="5"/>
        <v>2809.0834097158572</v>
      </c>
      <c r="M97" s="342">
        <f t="shared" si="5"/>
        <v>1457.6865261228231</v>
      </c>
      <c r="N97" s="342">
        <f t="shared" si="5"/>
        <v>104.90925756186985</v>
      </c>
      <c r="O97" s="342">
        <f t="shared" si="5"/>
        <v>59.356553620531621</v>
      </c>
      <c r="P97" s="342">
        <f t="shared" si="5"/>
        <v>1427.3180568285977</v>
      </c>
      <c r="Q97" s="320"/>
      <c r="R97" s="320"/>
      <c r="S97" s="323" t="s">
        <v>199</v>
      </c>
      <c r="T97" s="327">
        <f t="shared" si="6"/>
        <v>382.53</v>
      </c>
      <c r="U97" s="320"/>
      <c r="V97" s="320"/>
      <c r="W97" s="320"/>
      <c r="X97" s="320"/>
    </row>
    <row r="98" spans="1:24" ht="13.8" thickBot="1" x14ac:dyDescent="0.25">
      <c r="I98" s="320"/>
      <c r="J98" s="339">
        <v>7</v>
      </c>
      <c r="K98" s="340" t="s">
        <v>202</v>
      </c>
      <c r="L98" s="346">
        <f t="shared" si="5"/>
        <v>3028.5646196150319</v>
      </c>
      <c r="M98" s="346">
        <f t="shared" si="5"/>
        <v>1570.878093492209</v>
      </c>
      <c r="N98" s="346">
        <f t="shared" si="5"/>
        <v>113.19156736938588</v>
      </c>
      <c r="O98" s="346">
        <f t="shared" si="5"/>
        <v>63.497708524289642</v>
      </c>
      <c r="P98" s="346">
        <f t="shared" si="5"/>
        <v>1539.1292392300643</v>
      </c>
      <c r="Q98" s="320"/>
      <c r="R98" s="320"/>
      <c r="S98" s="323" t="s">
        <v>245</v>
      </c>
      <c r="T98" s="327">
        <f t="shared" si="6"/>
        <v>100.86</v>
      </c>
      <c r="U98" s="320"/>
      <c r="V98" s="320"/>
      <c r="W98" s="320"/>
      <c r="X98" s="320"/>
    </row>
    <row r="99" spans="1:24" ht="13.2" x14ac:dyDescent="0.2">
      <c r="I99" s="320"/>
      <c r="J99" s="320"/>
      <c r="K99" s="320"/>
      <c r="L99" s="320"/>
      <c r="M99" s="320"/>
      <c r="N99" s="320"/>
      <c r="O99" s="320"/>
      <c r="P99" s="320"/>
      <c r="Q99" s="320"/>
      <c r="R99" s="320"/>
      <c r="S99" s="323" t="s">
        <v>246</v>
      </c>
      <c r="T99" s="327">
        <f t="shared" si="6"/>
        <v>123</v>
      </c>
      <c r="U99" s="320"/>
      <c r="V99" s="320"/>
      <c r="W99" s="320"/>
      <c r="X99" s="320"/>
    </row>
    <row r="100" spans="1:24" ht="13.2" x14ac:dyDescent="0.2">
      <c r="I100" s="320"/>
      <c r="J100" s="320"/>
      <c r="K100" s="320"/>
      <c r="L100" s="320"/>
      <c r="M100" s="320"/>
      <c r="N100" s="320"/>
      <c r="O100" s="320"/>
      <c r="P100" s="320"/>
      <c r="Q100" s="320"/>
      <c r="R100" s="320"/>
      <c r="S100" s="323" t="s">
        <v>151</v>
      </c>
      <c r="T100" s="327">
        <f t="shared" si="6"/>
        <v>75.03</v>
      </c>
      <c r="U100" s="320"/>
      <c r="V100" s="320"/>
      <c r="W100" s="320"/>
      <c r="X100" s="320"/>
    </row>
  </sheetData>
  <mergeCells count="26">
    <mergeCell ref="L31:L32"/>
    <mergeCell ref="M31:M32"/>
    <mergeCell ref="L30:M30"/>
    <mergeCell ref="A28:E28"/>
    <mergeCell ref="A31:B32"/>
    <mergeCell ref="C31:C32"/>
    <mergeCell ref="A77:A78"/>
    <mergeCell ref="B77:F77"/>
    <mergeCell ref="A90:A91"/>
    <mergeCell ref="B90:F90"/>
    <mergeCell ref="J31:K32"/>
    <mergeCell ref="E31:E32"/>
    <mergeCell ref="F31:F32"/>
    <mergeCell ref="H31:H32"/>
    <mergeCell ref="D31:D32"/>
    <mergeCell ref="G31:G32"/>
    <mergeCell ref="C17:F17"/>
    <mergeCell ref="B19:B21"/>
    <mergeCell ref="C19:C21"/>
    <mergeCell ref="D19:D21"/>
    <mergeCell ref="E19:E21"/>
    <mergeCell ref="J17:M17"/>
    <mergeCell ref="I19:I21"/>
    <mergeCell ref="J19:J21"/>
    <mergeCell ref="K19:K21"/>
    <mergeCell ref="L19:L21"/>
  </mergeCells>
  <hyperlinks>
    <hyperlink ref="C75" r:id="rId1" xr:uid="{00000000-0004-0000-0600-000000000000}"/>
    <hyperlink ref="L76" r:id="rId2" xr:uid="{00000000-0004-0000-0600-000001000000}"/>
    <hyperlink ref="A4" r:id="rId3" display="https://ec.europa.eu/transport/sites/transport/files/studies/internalisation-handbook-isbn-978-92-79-96917-1.pdf" xr:uid="{00000000-0004-0000-0600-000002000000}"/>
    <hyperlink ref="D18" location="_ftn1" display="_ftn1" xr:uid="{00000000-0004-0000-0600-000003000000}"/>
    <hyperlink ref="A24" location="_ftnref1" display="_ftnref1" xr:uid="{00000000-0004-0000-0600-000004000000}"/>
    <hyperlink ref="K18" location="_ftn1" display="_ftn1" xr:uid="{00000000-0004-0000-0600-000005000000}"/>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56"/>
  <sheetViews>
    <sheetView zoomScale="70" zoomScaleNormal="70" workbookViewId="0">
      <selection activeCell="G39" sqref="G39:J39"/>
    </sheetView>
  </sheetViews>
  <sheetFormatPr defaultRowHeight="10.199999999999999" x14ac:dyDescent="0.2"/>
  <cols>
    <col min="1" max="1" width="22.140625" customWidth="1"/>
    <col min="2" max="2" width="13.7109375" customWidth="1"/>
    <col min="3" max="3" width="11.7109375" customWidth="1"/>
    <col min="4" max="5" width="16.42578125" customWidth="1"/>
    <col min="6" max="6" width="16.85546875" customWidth="1"/>
    <col min="7" max="7" width="14.85546875" customWidth="1"/>
    <col min="8" max="9" width="9.7109375" customWidth="1"/>
    <col min="10" max="10" width="17.7109375" customWidth="1"/>
    <col min="11" max="16" width="14.42578125" customWidth="1"/>
    <col min="17" max="19" width="11.85546875" customWidth="1"/>
    <col min="22" max="23" width="24.85546875" customWidth="1"/>
    <col min="24" max="25" width="6.42578125" customWidth="1"/>
    <col min="26" max="27" width="24.85546875" customWidth="1"/>
  </cols>
  <sheetData>
    <row r="2" spans="1:14" ht="13.2" x14ac:dyDescent="0.25">
      <c r="A2" s="278"/>
    </row>
    <row r="3" spans="1:14" ht="13.2" x14ac:dyDescent="0.2">
      <c r="A3" s="277" t="s">
        <v>782</v>
      </c>
    </row>
    <row r="4" spans="1:14" ht="13.2" x14ac:dyDescent="0.25">
      <c r="A4" s="68" t="s">
        <v>783</v>
      </c>
    </row>
    <row r="7" spans="1:14" ht="13.8" thickBot="1" x14ac:dyDescent="0.3">
      <c r="E7" s="195">
        <v>2016</v>
      </c>
      <c r="N7" s="195">
        <v>2019</v>
      </c>
    </row>
    <row r="8" spans="1:14" ht="11.25" customHeight="1" x14ac:dyDescent="0.2">
      <c r="A8" s="552" t="s">
        <v>549</v>
      </c>
      <c r="B8" s="552" t="s">
        <v>550</v>
      </c>
      <c r="C8" s="552" t="s">
        <v>786</v>
      </c>
      <c r="D8" s="552" t="s">
        <v>787</v>
      </c>
      <c r="E8" s="552" t="s">
        <v>794</v>
      </c>
      <c r="J8" s="552" t="s">
        <v>549</v>
      </c>
      <c r="K8" s="552" t="s">
        <v>550</v>
      </c>
      <c r="L8" s="552" t="s">
        <v>786</v>
      </c>
      <c r="M8" s="552" t="s">
        <v>787</v>
      </c>
      <c r="N8" s="552" t="s">
        <v>794</v>
      </c>
    </row>
    <row r="9" spans="1:14" ht="24.75" customHeight="1" thickBot="1" x14ac:dyDescent="0.25">
      <c r="A9" s="578"/>
      <c r="B9" s="578"/>
      <c r="C9" s="578"/>
      <c r="D9" s="578"/>
      <c r="E9" s="578"/>
      <c r="J9" s="578"/>
      <c r="K9" s="578"/>
      <c r="L9" s="578"/>
      <c r="M9" s="578"/>
      <c r="N9" s="578"/>
    </row>
    <row r="10" spans="1:14" ht="21.75" customHeight="1" x14ac:dyDescent="0.2">
      <c r="A10" s="368" t="s">
        <v>788</v>
      </c>
      <c r="B10" s="92" t="s">
        <v>789</v>
      </c>
      <c r="C10" s="92">
        <v>270</v>
      </c>
      <c r="D10" s="88">
        <v>0.3</v>
      </c>
      <c r="E10" s="88">
        <v>163</v>
      </c>
      <c r="J10" s="368" t="s">
        <v>788</v>
      </c>
      <c r="K10" s="92" t="s">
        <v>789</v>
      </c>
      <c r="L10" s="372">
        <f t="shared" ref="L10:N13" si="0">C10*factor16</f>
        <v>283.92418952618453</v>
      </c>
      <c r="M10" s="90">
        <f t="shared" si="0"/>
        <v>0.31547132169576059</v>
      </c>
      <c r="N10" s="374">
        <f t="shared" si="0"/>
        <v>171.40608478802991</v>
      </c>
    </row>
    <row r="11" spans="1:14" ht="21.75" customHeight="1" x14ac:dyDescent="0.2">
      <c r="A11" s="369" t="s">
        <v>790</v>
      </c>
      <c r="B11" s="93" t="s">
        <v>791</v>
      </c>
      <c r="C11" s="93">
        <v>380</v>
      </c>
      <c r="D11" s="89">
        <v>0.13</v>
      </c>
      <c r="E11" s="89">
        <v>231</v>
      </c>
      <c r="J11" s="369" t="s">
        <v>790</v>
      </c>
      <c r="K11" s="93" t="s">
        <v>791</v>
      </c>
      <c r="L11" s="373">
        <f t="shared" si="0"/>
        <v>399.59700748129677</v>
      </c>
      <c r="M11" s="91">
        <f t="shared" si="0"/>
        <v>0.13670423940149626</v>
      </c>
      <c r="N11" s="375">
        <f t="shared" si="0"/>
        <v>242.91291770573565</v>
      </c>
    </row>
    <row r="12" spans="1:14" ht="21.75" customHeight="1" x14ac:dyDescent="0.2">
      <c r="A12" s="368" t="s">
        <v>792</v>
      </c>
      <c r="B12" s="92" t="s">
        <v>793</v>
      </c>
      <c r="C12" s="92">
        <v>360</v>
      </c>
      <c r="D12" s="88">
        <v>0.06</v>
      </c>
      <c r="E12" s="88">
        <v>444</v>
      </c>
      <c r="J12" s="368" t="s">
        <v>792</v>
      </c>
      <c r="K12" s="92" t="s">
        <v>793</v>
      </c>
      <c r="L12" s="372">
        <f t="shared" si="0"/>
        <v>378.56558603491271</v>
      </c>
      <c r="M12" s="90">
        <f t="shared" si="0"/>
        <v>6.309426433915212E-2</v>
      </c>
      <c r="N12" s="374">
        <f t="shared" si="0"/>
        <v>466.89755610972571</v>
      </c>
    </row>
    <row r="13" spans="1:14" ht="21.75" customHeight="1" thickBot="1" x14ac:dyDescent="0.25">
      <c r="A13" s="622" t="s">
        <v>773</v>
      </c>
      <c r="B13" s="623"/>
      <c r="C13" s="262">
        <v>1010</v>
      </c>
      <c r="D13" s="370">
        <v>0.1</v>
      </c>
      <c r="E13" s="370">
        <v>246</v>
      </c>
      <c r="J13" s="622" t="s">
        <v>773</v>
      </c>
      <c r="K13" s="623"/>
      <c r="L13" s="262">
        <f t="shared" si="0"/>
        <v>1062.086783042394</v>
      </c>
      <c r="M13" s="371">
        <f t="shared" si="0"/>
        <v>0.1051571072319202</v>
      </c>
      <c r="N13" s="376">
        <f t="shared" si="0"/>
        <v>258.68648379052371</v>
      </c>
    </row>
    <row r="17" spans="1:16" ht="13.2" x14ac:dyDescent="0.25">
      <c r="G17" s="195">
        <v>2016</v>
      </c>
      <c r="P17" s="195">
        <v>2019</v>
      </c>
    </row>
    <row r="18" spans="1:16" ht="36" x14ac:dyDescent="0.2">
      <c r="A18" s="377" t="s">
        <v>795</v>
      </c>
      <c r="B18" s="378" t="s">
        <v>796</v>
      </c>
      <c r="C18" s="378" t="s">
        <v>797</v>
      </c>
      <c r="D18" s="378" t="s">
        <v>798</v>
      </c>
      <c r="E18" s="379" t="s">
        <v>799</v>
      </c>
      <c r="F18" s="379" t="s">
        <v>800</v>
      </c>
      <c r="G18" s="380" t="s">
        <v>801</v>
      </c>
      <c r="J18" s="377" t="s">
        <v>795</v>
      </c>
      <c r="K18" s="378" t="s">
        <v>796</v>
      </c>
      <c r="L18" s="378" t="s">
        <v>797</v>
      </c>
      <c r="M18" s="378" t="s">
        <v>798</v>
      </c>
      <c r="N18" s="379" t="s">
        <v>799</v>
      </c>
      <c r="O18" s="379" t="s">
        <v>800</v>
      </c>
      <c r="P18" s="380" t="s">
        <v>801</v>
      </c>
    </row>
    <row r="19" spans="1:16" ht="19.5" customHeight="1" x14ac:dyDescent="0.2">
      <c r="A19" s="381" t="s">
        <v>802</v>
      </c>
      <c r="B19" s="407">
        <v>500</v>
      </c>
      <c r="C19" s="382" t="s">
        <v>803</v>
      </c>
      <c r="D19" s="382" t="s">
        <v>804</v>
      </c>
      <c r="E19" s="383">
        <v>101</v>
      </c>
      <c r="F19" s="384">
        <v>0.28000000000000003</v>
      </c>
      <c r="G19" s="385">
        <v>1.42</v>
      </c>
      <c r="J19" s="381" t="s">
        <v>802</v>
      </c>
      <c r="K19" s="407">
        <v>500</v>
      </c>
      <c r="L19" s="414" t="s">
        <v>803</v>
      </c>
      <c r="M19" s="414" t="s">
        <v>804</v>
      </c>
      <c r="N19" s="94">
        <f>E19*factor16</f>
        <v>106.2086783042394</v>
      </c>
      <c r="O19" s="90">
        <f>F19*factor16</f>
        <v>0.29443990024937661</v>
      </c>
      <c r="P19" s="90">
        <f>G19*factor16</f>
        <v>1.4932309226932667</v>
      </c>
    </row>
    <row r="20" spans="1:16" ht="12" x14ac:dyDescent="0.2">
      <c r="A20" s="381"/>
      <c r="B20" s="401">
        <v>500</v>
      </c>
      <c r="C20" s="386" t="s">
        <v>805</v>
      </c>
      <c r="D20" s="386" t="s">
        <v>806</v>
      </c>
      <c r="E20" s="387">
        <v>137</v>
      </c>
      <c r="F20" s="388">
        <v>0.3</v>
      </c>
      <c r="G20" s="389">
        <v>1.52</v>
      </c>
      <c r="J20" s="381"/>
      <c r="K20" s="401">
        <v>500</v>
      </c>
      <c r="L20" s="415" t="s">
        <v>805</v>
      </c>
      <c r="M20" s="415" t="s">
        <v>806</v>
      </c>
      <c r="N20" s="401">
        <f t="shared" ref="N20:N28" si="1">E20*factor16</f>
        <v>144.06523690773068</v>
      </c>
      <c r="O20" s="402">
        <f t="shared" ref="O20:O28" si="2">F20*factor16</f>
        <v>0.31547132169576059</v>
      </c>
      <c r="P20" s="403">
        <f t="shared" ref="P20:P28" si="3">G20*factor16</f>
        <v>1.5983880299251871</v>
      </c>
    </row>
    <row r="21" spans="1:16" ht="12" x14ac:dyDescent="0.2">
      <c r="A21" s="390" t="s">
        <v>807</v>
      </c>
      <c r="B21" s="416">
        <v>1500</v>
      </c>
      <c r="C21" s="391" t="s">
        <v>803</v>
      </c>
      <c r="D21" s="391" t="s">
        <v>808</v>
      </c>
      <c r="E21" s="392">
        <v>165</v>
      </c>
      <c r="F21" s="393">
        <v>7.0000000000000007E-2</v>
      </c>
      <c r="G21" s="394">
        <v>1.1100000000000001</v>
      </c>
      <c r="J21" s="390" t="s">
        <v>807</v>
      </c>
      <c r="K21" s="416">
        <v>1500</v>
      </c>
      <c r="L21" s="417" t="s">
        <v>803</v>
      </c>
      <c r="M21" s="417" t="s">
        <v>808</v>
      </c>
      <c r="N21" s="404">
        <f t="shared" si="1"/>
        <v>173.50922693266833</v>
      </c>
      <c r="O21" s="405">
        <f t="shared" si="2"/>
        <v>7.3609975062344152E-2</v>
      </c>
      <c r="P21" s="406">
        <f t="shared" si="3"/>
        <v>1.1672438902743143</v>
      </c>
    </row>
    <row r="22" spans="1:16" ht="12" x14ac:dyDescent="0.2">
      <c r="A22" s="381"/>
      <c r="B22" s="418">
        <v>1500</v>
      </c>
      <c r="C22" s="386" t="s">
        <v>805</v>
      </c>
      <c r="D22" s="386" t="s">
        <v>809</v>
      </c>
      <c r="E22" s="387">
        <v>185</v>
      </c>
      <c r="F22" s="388">
        <v>0.11</v>
      </c>
      <c r="G22" s="389">
        <v>1.58</v>
      </c>
      <c r="J22" s="381"/>
      <c r="K22" s="418">
        <v>1500</v>
      </c>
      <c r="L22" s="415" t="s">
        <v>805</v>
      </c>
      <c r="M22" s="415" t="s">
        <v>809</v>
      </c>
      <c r="N22" s="401">
        <f t="shared" si="1"/>
        <v>194.54064837905236</v>
      </c>
      <c r="O22" s="402">
        <f t="shared" si="2"/>
        <v>0.11567281795511222</v>
      </c>
      <c r="P22" s="403">
        <f t="shared" si="3"/>
        <v>1.6614822942643392</v>
      </c>
    </row>
    <row r="23" spans="1:16" ht="12" x14ac:dyDescent="0.2">
      <c r="A23" s="381"/>
      <c r="B23" s="419">
        <v>3000</v>
      </c>
      <c r="C23" s="382" t="s">
        <v>803</v>
      </c>
      <c r="D23" s="382" t="s">
        <v>808</v>
      </c>
      <c r="E23" s="383">
        <v>219</v>
      </c>
      <c r="F23" s="384">
        <v>0.05</v>
      </c>
      <c r="G23" s="385">
        <v>1.47</v>
      </c>
      <c r="J23" s="381"/>
      <c r="K23" s="419">
        <v>3000</v>
      </c>
      <c r="L23" s="414" t="s">
        <v>803</v>
      </c>
      <c r="M23" s="414" t="s">
        <v>808</v>
      </c>
      <c r="N23" s="407">
        <f t="shared" si="1"/>
        <v>230.29406483790524</v>
      </c>
      <c r="O23" s="408">
        <f t="shared" si="2"/>
        <v>5.2578553615960102E-2</v>
      </c>
      <c r="P23" s="409">
        <f t="shared" si="3"/>
        <v>1.5458094763092269</v>
      </c>
    </row>
    <row r="24" spans="1:16" ht="12" x14ac:dyDescent="0.2">
      <c r="A24" s="395"/>
      <c r="B24" s="420">
        <v>3000</v>
      </c>
      <c r="C24" s="396" t="s">
        <v>805</v>
      </c>
      <c r="D24" s="396" t="s">
        <v>809</v>
      </c>
      <c r="E24" s="397">
        <v>245</v>
      </c>
      <c r="F24" s="398">
        <v>7.0000000000000007E-2</v>
      </c>
      <c r="G24" s="399">
        <v>2.09</v>
      </c>
      <c r="J24" s="395"/>
      <c r="K24" s="420">
        <v>3000</v>
      </c>
      <c r="L24" s="421" t="s">
        <v>805</v>
      </c>
      <c r="M24" s="421" t="s">
        <v>809</v>
      </c>
      <c r="N24" s="410">
        <f t="shared" si="1"/>
        <v>257.63491271820448</v>
      </c>
      <c r="O24" s="411">
        <f t="shared" si="2"/>
        <v>7.3609975062344152E-2</v>
      </c>
      <c r="P24" s="412">
        <f t="shared" si="3"/>
        <v>2.1977835411471318</v>
      </c>
    </row>
    <row r="25" spans="1:16" ht="12" x14ac:dyDescent="0.2">
      <c r="A25" s="390" t="s">
        <v>810</v>
      </c>
      <c r="B25" s="416">
        <v>5000</v>
      </c>
      <c r="C25" s="391" t="s">
        <v>803</v>
      </c>
      <c r="D25" s="391" t="s">
        <v>811</v>
      </c>
      <c r="E25" s="392">
        <v>502</v>
      </c>
      <c r="F25" s="393">
        <v>0.03</v>
      </c>
      <c r="G25" s="394">
        <v>1.7</v>
      </c>
      <c r="J25" s="390" t="s">
        <v>810</v>
      </c>
      <c r="K25" s="416">
        <v>5000</v>
      </c>
      <c r="L25" s="417" t="s">
        <v>803</v>
      </c>
      <c r="M25" s="417" t="s">
        <v>811</v>
      </c>
      <c r="N25" s="404">
        <f t="shared" si="1"/>
        <v>527.88867830423942</v>
      </c>
      <c r="O25" s="405">
        <f t="shared" si="2"/>
        <v>3.154713216957606E-2</v>
      </c>
      <c r="P25" s="406">
        <f t="shared" si="3"/>
        <v>1.7876708229426432</v>
      </c>
    </row>
    <row r="26" spans="1:16" ht="12" x14ac:dyDescent="0.2">
      <c r="A26" s="381"/>
      <c r="B26" s="418">
        <v>5000</v>
      </c>
      <c r="C26" s="386" t="s">
        <v>805</v>
      </c>
      <c r="D26" s="386" t="s">
        <v>812</v>
      </c>
      <c r="E26" s="387">
        <v>833</v>
      </c>
      <c r="F26" s="388">
        <v>0.04</v>
      </c>
      <c r="G26" s="389">
        <v>1.92</v>
      </c>
      <c r="J26" s="381"/>
      <c r="K26" s="418">
        <v>5000</v>
      </c>
      <c r="L26" s="415" t="s">
        <v>805</v>
      </c>
      <c r="M26" s="415" t="s">
        <v>812</v>
      </c>
      <c r="N26" s="401">
        <f t="shared" si="1"/>
        <v>875.95870324189525</v>
      </c>
      <c r="O26" s="402">
        <f t="shared" si="2"/>
        <v>4.2062842892768078E-2</v>
      </c>
      <c r="P26" s="403">
        <f t="shared" si="3"/>
        <v>2.0190164588528678</v>
      </c>
    </row>
    <row r="27" spans="1:16" ht="12" x14ac:dyDescent="0.2">
      <c r="A27" s="381"/>
      <c r="B27" s="419">
        <v>15000</v>
      </c>
      <c r="C27" s="382" t="s">
        <v>803</v>
      </c>
      <c r="D27" s="382" t="s">
        <v>811</v>
      </c>
      <c r="E27" s="383">
        <v>711</v>
      </c>
      <c r="F27" s="384">
        <v>0.02</v>
      </c>
      <c r="G27" s="385">
        <v>2.41</v>
      </c>
      <c r="J27" s="381"/>
      <c r="K27" s="419">
        <v>15000</v>
      </c>
      <c r="L27" s="414" t="s">
        <v>803</v>
      </c>
      <c r="M27" s="414" t="s">
        <v>811</v>
      </c>
      <c r="N27" s="407">
        <f t="shared" si="1"/>
        <v>747.66703241895266</v>
      </c>
      <c r="O27" s="408">
        <f t="shared" si="2"/>
        <v>2.1031421446384039E-2</v>
      </c>
      <c r="P27" s="409">
        <f t="shared" si="3"/>
        <v>2.5342862842892768</v>
      </c>
    </row>
    <row r="28" spans="1:16" ht="12" x14ac:dyDescent="0.2">
      <c r="A28" s="395"/>
      <c r="B28" s="420">
        <v>15000</v>
      </c>
      <c r="C28" s="396" t="s">
        <v>805</v>
      </c>
      <c r="D28" s="396" t="s">
        <v>812</v>
      </c>
      <c r="E28" s="400">
        <v>1.179</v>
      </c>
      <c r="F28" s="398">
        <v>0.02</v>
      </c>
      <c r="G28" s="399">
        <v>2.72</v>
      </c>
      <c r="J28" s="395"/>
      <c r="K28" s="420">
        <v>15000</v>
      </c>
      <c r="L28" s="421" t="s">
        <v>805</v>
      </c>
      <c r="M28" s="421" t="s">
        <v>812</v>
      </c>
      <c r="N28" s="413">
        <f t="shared" si="1"/>
        <v>1.2398022942643392</v>
      </c>
      <c r="O28" s="411">
        <f t="shared" si="2"/>
        <v>2.1031421446384039E-2</v>
      </c>
      <c r="P28" s="412">
        <f t="shared" si="3"/>
        <v>2.8602733167082297</v>
      </c>
    </row>
    <row r="31" spans="1:16" ht="10.8" thickBot="1" x14ac:dyDescent="0.25">
      <c r="C31" s="520">
        <v>2016</v>
      </c>
      <c r="G31" s="521">
        <v>2019</v>
      </c>
    </row>
    <row r="32" spans="1:16" ht="13.8" thickBot="1" x14ac:dyDescent="0.25">
      <c r="A32" s="509" t="s">
        <v>868</v>
      </c>
      <c r="B32" s="511" t="s">
        <v>869</v>
      </c>
      <c r="C32" s="510" t="s">
        <v>34</v>
      </c>
      <c r="D32" s="510" t="s">
        <v>66</v>
      </c>
      <c r="F32" s="511" t="s">
        <v>869</v>
      </c>
      <c r="G32" s="510" t="s">
        <v>34</v>
      </c>
      <c r="H32" s="510" t="s">
        <v>66</v>
      </c>
    </row>
    <row r="33" spans="1:18" ht="22.8" x14ac:dyDescent="0.2">
      <c r="A33" s="512" t="s">
        <v>870</v>
      </c>
      <c r="B33" s="513">
        <v>60</v>
      </c>
      <c r="C33" s="513">
        <v>100</v>
      </c>
      <c r="D33" s="513">
        <v>189</v>
      </c>
      <c r="F33" s="516">
        <f t="shared" ref="F33:H34" si="4">B33*factor16</f>
        <v>63.094264339152119</v>
      </c>
      <c r="G33" s="516">
        <f t="shared" si="4"/>
        <v>105.15710723192019</v>
      </c>
      <c r="H33" s="516">
        <f t="shared" si="4"/>
        <v>198.74693266832918</v>
      </c>
    </row>
    <row r="34" spans="1:18" ht="23.4" thickBot="1" x14ac:dyDescent="0.25">
      <c r="A34" s="514" t="s">
        <v>871</v>
      </c>
      <c r="B34" s="515">
        <v>156</v>
      </c>
      <c r="C34" s="515">
        <v>269</v>
      </c>
      <c r="D34" s="515">
        <v>498</v>
      </c>
      <c r="F34" s="516">
        <f t="shared" si="4"/>
        <v>164.0450872817955</v>
      </c>
      <c r="G34" s="516">
        <f t="shared" si="4"/>
        <v>282.87261845386536</v>
      </c>
      <c r="H34" s="516">
        <f t="shared" si="4"/>
        <v>523.6823940149626</v>
      </c>
    </row>
    <row r="37" spans="1:18" ht="10.8" thickBot="1" x14ac:dyDescent="0.25">
      <c r="E37" s="520">
        <v>2016</v>
      </c>
      <c r="J37" s="521">
        <v>2019</v>
      </c>
    </row>
    <row r="38" spans="1:18" ht="13.8" thickBot="1" x14ac:dyDescent="0.25">
      <c r="A38" s="517" t="s">
        <v>872</v>
      </c>
      <c r="B38" s="510" t="s">
        <v>873</v>
      </c>
      <c r="C38" s="510" t="s">
        <v>548</v>
      </c>
      <c r="D38" s="510" t="s">
        <v>874</v>
      </c>
      <c r="E38" s="510" t="s">
        <v>875</v>
      </c>
      <c r="G38" s="510" t="s">
        <v>873</v>
      </c>
      <c r="H38" s="510" t="s">
        <v>548</v>
      </c>
      <c r="I38" s="510" t="s">
        <v>874</v>
      </c>
      <c r="J38" s="510" t="s">
        <v>875</v>
      </c>
    </row>
    <row r="39" spans="1:18" ht="12" thickBot="1" x14ac:dyDescent="0.25">
      <c r="A39" s="518" t="s">
        <v>876</v>
      </c>
      <c r="B39" s="519">
        <v>10.9</v>
      </c>
      <c r="C39" s="519">
        <v>1.2</v>
      </c>
      <c r="D39" s="519">
        <v>10.9</v>
      </c>
      <c r="E39" s="519">
        <v>19.399999999999999</v>
      </c>
      <c r="G39" s="522">
        <f>B39*factor16</f>
        <v>11.462124688279301</v>
      </c>
      <c r="H39" s="522">
        <f>C39*factor16</f>
        <v>1.2618852867830423</v>
      </c>
      <c r="I39" s="522">
        <f>D39*factor16</f>
        <v>11.462124688279301</v>
      </c>
      <c r="J39" s="522">
        <f>E39*factor16</f>
        <v>20.400478802992517</v>
      </c>
    </row>
    <row r="45" spans="1:18" ht="27.75" customHeight="1" thickBot="1" x14ac:dyDescent="0.3">
      <c r="E45" s="11" t="s">
        <v>829</v>
      </c>
      <c r="F45" s="195">
        <v>2017</v>
      </c>
      <c r="L45" s="11" t="s">
        <v>830</v>
      </c>
      <c r="M45" s="195">
        <v>2017</v>
      </c>
      <c r="P45" s="11" t="s">
        <v>761</v>
      </c>
      <c r="Q45" s="11" t="s">
        <v>830</v>
      </c>
      <c r="R45" s="195">
        <v>2017</v>
      </c>
    </row>
    <row r="46" spans="1:18" ht="40.65" customHeight="1" thickBot="1" x14ac:dyDescent="0.25">
      <c r="C46" s="626" t="s">
        <v>822</v>
      </c>
      <c r="D46" s="626" t="s">
        <v>823</v>
      </c>
      <c r="E46" s="624" t="s">
        <v>824</v>
      </c>
      <c r="F46" s="625"/>
      <c r="J46" s="626" t="s">
        <v>822</v>
      </c>
      <c r="K46" s="626" t="s">
        <v>823</v>
      </c>
      <c r="L46" s="624" t="s">
        <v>824</v>
      </c>
      <c r="M46" s="625"/>
      <c r="O46" s="626" t="s">
        <v>822</v>
      </c>
      <c r="P46" s="626" t="s">
        <v>823</v>
      </c>
      <c r="Q46" s="624" t="s">
        <v>824</v>
      </c>
      <c r="R46" s="625"/>
    </row>
    <row r="47" spans="1:18" ht="12.75" customHeight="1" thickBot="1" x14ac:dyDescent="0.25">
      <c r="C47" s="627"/>
      <c r="D47" s="627"/>
      <c r="E47" s="435" t="s">
        <v>825</v>
      </c>
      <c r="F47" s="436" t="s">
        <v>826</v>
      </c>
      <c r="J47" s="627"/>
      <c r="K47" s="627"/>
      <c r="L47" s="435" t="s">
        <v>825</v>
      </c>
      <c r="M47" s="436" t="s">
        <v>826</v>
      </c>
      <c r="O47" s="627"/>
      <c r="P47" s="627"/>
      <c r="Q47" s="435" t="s">
        <v>825</v>
      </c>
      <c r="R47" s="436" t="s">
        <v>826</v>
      </c>
    </row>
    <row r="48" spans="1:18" ht="12.75" customHeight="1" x14ac:dyDescent="0.2">
      <c r="C48" s="437" t="s">
        <v>827</v>
      </c>
      <c r="D48" s="438">
        <v>194269</v>
      </c>
      <c r="E48" s="438">
        <v>40571</v>
      </c>
      <c r="F48" s="438">
        <v>560317</v>
      </c>
      <c r="J48" s="437" t="s">
        <v>827</v>
      </c>
      <c r="K48" s="438">
        <f>D48/'basic assumptions'!I10</f>
        <v>221598.77719096126</v>
      </c>
      <c r="L48" s="438">
        <f>E48/'basic assumptions'!I10</f>
        <v>46278.531260337419</v>
      </c>
      <c r="M48" s="438">
        <f>F48/'basic assumptions'!I10</f>
        <v>639142.436720773</v>
      </c>
      <c r="O48" s="437" t="s">
        <v>827</v>
      </c>
      <c r="P48" s="438">
        <f t="shared" ref="P48:R49" si="5">ROUNDUP(K48,-2)</f>
        <v>221600</v>
      </c>
      <c r="Q48" s="438">
        <f t="shared" si="5"/>
        <v>46300</v>
      </c>
      <c r="R48" s="438">
        <f t="shared" si="5"/>
        <v>639200</v>
      </c>
    </row>
    <row r="49" spans="3:18" ht="15.6" thickBot="1" x14ac:dyDescent="0.25">
      <c r="C49" s="439" t="s">
        <v>828</v>
      </c>
      <c r="D49" s="440">
        <v>11672</v>
      </c>
      <c r="E49" s="440">
        <v>1054</v>
      </c>
      <c r="F49" s="440">
        <v>44732</v>
      </c>
      <c r="J49" s="439" t="s">
        <v>828</v>
      </c>
      <c r="K49" s="438">
        <f>D49/'basic assumptions'!$I$10</f>
        <v>13314.017817422748</v>
      </c>
      <c r="L49" s="438">
        <f>E49/'basic assumptions'!$I$10</f>
        <v>1202.2767974266258</v>
      </c>
      <c r="M49" s="438">
        <f>F49/'basic assumptions'!$I$10</f>
        <v>51024.90104600363</v>
      </c>
      <c r="O49" s="439" t="s">
        <v>828</v>
      </c>
      <c r="P49" s="438">
        <f t="shared" si="5"/>
        <v>13400</v>
      </c>
      <c r="Q49" s="438">
        <f t="shared" si="5"/>
        <v>1300</v>
      </c>
      <c r="R49" s="438">
        <f t="shared" si="5"/>
        <v>51100</v>
      </c>
    </row>
    <row r="52" spans="3:18" ht="13.8" thickBot="1" x14ac:dyDescent="0.3">
      <c r="E52" s="11" t="s">
        <v>829</v>
      </c>
      <c r="F52" s="195">
        <v>2017</v>
      </c>
      <c r="L52" s="11" t="s">
        <v>829</v>
      </c>
      <c r="M52" s="195">
        <v>2017</v>
      </c>
    </row>
    <row r="53" spans="3:18" ht="12" thickBot="1" x14ac:dyDescent="0.25">
      <c r="C53" s="626" t="s">
        <v>822</v>
      </c>
      <c r="D53" s="626" t="s">
        <v>823</v>
      </c>
      <c r="E53" s="624" t="s">
        <v>824</v>
      </c>
      <c r="F53" s="625"/>
      <c r="J53" s="626" t="s">
        <v>822</v>
      </c>
      <c r="K53" s="626" t="s">
        <v>823</v>
      </c>
      <c r="L53" s="624" t="s">
        <v>824</v>
      </c>
      <c r="M53" s="625"/>
    </row>
    <row r="54" spans="3:18" ht="12" thickBot="1" x14ac:dyDescent="0.25">
      <c r="C54" s="627"/>
      <c r="D54" s="627"/>
      <c r="E54" s="435" t="s">
        <v>825</v>
      </c>
      <c r="F54" s="436" t="s">
        <v>826</v>
      </c>
      <c r="J54" s="627"/>
      <c r="K54" s="627"/>
      <c r="L54" s="435" t="s">
        <v>825</v>
      </c>
      <c r="M54" s="436" t="s">
        <v>826</v>
      </c>
    </row>
    <row r="55" spans="3:18" ht="15" x14ac:dyDescent="0.2">
      <c r="C55" s="437" t="s">
        <v>827</v>
      </c>
      <c r="D55" s="438">
        <f t="shared" ref="D55:F56" si="6">D48/1000</f>
        <v>194.26900000000001</v>
      </c>
      <c r="E55" s="438">
        <f t="shared" si="6"/>
        <v>40.570999999999998</v>
      </c>
      <c r="F55" s="438">
        <f t="shared" si="6"/>
        <v>560.31700000000001</v>
      </c>
      <c r="J55" s="437" t="s">
        <v>827</v>
      </c>
      <c r="K55" s="438">
        <f t="shared" ref="K55:M56" si="7">K48/1000</f>
        <v>221.59877719096127</v>
      </c>
      <c r="L55" s="438">
        <f t="shared" si="7"/>
        <v>46.278531260337417</v>
      </c>
      <c r="M55" s="438">
        <f t="shared" si="7"/>
        <v>639.14243672077305</v>
      </c>
    </row>
    <row r="56" spans="3:18" ht="15.6" thickBot="1" x14ac:dyDescent="0.25">
      <c r="C56" s="439" t="s">
        <v>828</v>
      </c>
      <c r="D56" s="438">
        <f t="shared" si="6"/>
        <v>11.672000000000001</v>
      </c>
      <c r="E56" s="438">
        <f t="shared" si="6"/>
        <v>1.054</v>
      </c>
      <c r="F56" s="438">
        <f t="shared" si="6"/>
        <v>44.731999999999999</v>
      </c>
      <c r="J56" s="439" t="s">
        <v>828</v>
      </c>
      <c r="K56" s="438">
        <f t="shared" si="7"/>
        <v>13.314017817422748</v>
      </c>
      <c r="L56" s="438">
        <f t="shared" si="7"/>
        <v>1.2022767974266257</v>
      </c>
      <c r="M56" s="438">
        <f t="shared" si="7"/>
        <v>51.024901046003627</v>
      </c>
    </row>
  </sheetData>
  <mergeCells count="27">
    <mergeCell ref="L46:M46"/>
    <mergeCell ref="O46:O47"/>
    <mergeCell ref="P46:P47"/>
    <mergeCell ref="Q46:R46"/>
    <mergeCell ref="C53:C54"/>
    <mergeCell ref="D53:D54"/>
    <mergeCell ref="E53:F53"/>
    <mergeCell ref="J53:J54"/>
    <mergeCell ref="K53:K54"/>
    <mergeCell ref="L53:M53"/>
    <mergeCell ref="C46:C47"/>
    <mergeCell ref="D46:D47"/>
    <mergeCell ref="E46:F46"/>
    <mergeCell ref="J46:J47"/>
    <mergeCell ref="K46:K47"/>
    <mergeCell ref="L8:L9"/>
    <mergeCell ref="M8:M9"/>
    <mergeCell ref="N8:N9"/>
    <mergeCell ref="J13:K13"/>
    <mergeCell ref="A8:A9"/>
    <mergeCell ref="B8:B9"/>
    <mergeCell ref="C8:C9"/>
    <mergeCell ref="D8:D9"/>
    <mergeCell ref="A13:B13"/>
    <mergeCell ref="E8:E9"/>
    <mergeCell ref="J8:J9"/>
    <mergeCell ref="K8:K9"/>
  </mergeCells>
  <hyperlinks>
    <hyperlink ref="A4" r:id="rId1" display="https://ec.europa.eu/transport/sites/transport/files/studies/internalisation-handbook-isbn-978-92-79-96917-1.pdf" xr:uid="{00000000-0004-0000-0700-000000000000}"/>
    <hyperlink ref="B32" location="_ftn1" display="_ftn1" xr:uid="{00000000-0004-0000-0700-000001000000}"/>
    <hyperlink ref="F32" location="_ftn1" display="_ftn1" xr:uid="{00000000-0004-0000-0700-000002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1"/>
  <sheetViews>
    <sheetView zoomScale="70" zoomScaleNormal="70" workbookViewId="0">
      <selection activeCell="E15" sqref="E15"/>
    </sheetView>
  </sheetViews>
  <sheetFormatPr defaultRowHeight="10.199999999999999" x14ac:dyDescent="0.2"/>
  <cols>
    <col min="2" max="2" width="44.28515625" customWidth="1"/>
    <col min="3" max="4" width="15" customWidth="1"/>
    <col min="5" max="5" width="12.85546875" customWidth="1"/>
    <col min="6" max="7" width="16.140625" customWidth="1"/>
    <col min="8" max="8" width="12.85546875" customWidth="1"/>
    <col min="9" max="10" width="19.85546875" customWidth="1"/>
  </cols>
  <sheetData>
    <row r="2" spans="2:10" s="525" customFormat="1" ht="16.350000000000001" customHeight="1" thickBot="1" x14ac:dyDescent="0.3">
      <c r="C2" s="525">
        <v>2011</v>
      </c>
      <c r="F2" s="525">
        <v>2014</v>
      </c>
      <c r="I2" s="525">
        <v>2019</v>
      </c>
    </row>
    <row r="3" spans="2:10" ht="27" thickBot="1" x14ac:dyDescent="0.25">
      <c r="B3" s="71"/>
      <c r="C3" s="78" t="s">
        <v>257</v>
      </c>
      <c r="D3" s="196" t="s">
        <v>258</v>
      </c>
      <c r="F3" s="78" t="s">
        <v>257</v>
      </c>
      <c r="G3" s="196" t="s">
        <v>258</v>
      </c>
      <c r="I3" s="78" t="s">
        <v>257</v>
      </c>
      <c r="J3" s="196" t="s">
        <v>258</v>
      </c>
    </row>
    <row r="4" spans="2:10" ht="13.2" x14ac:dyDescent="0.2">
      <c r="B4" s="60" t="s">
        <v>259</v>
      </c>
      <c r="C4" s="230">
        <v>24222</v>
      </c>
      <c r="D4" s="230">
        <v>4444</v>
      </c>
      <c r="F4" s="232">
        <v>25373.857965853153</v>
      </c>
      <c r="G4" s="232">
        <v>4655.3308892845926</v>
      </c>
      <c r="I4" s="232">
        <f t="shared" ref="I4:J6" si="0">C4*factor11</f>
        <v>26777.299077181207</v>
      </c>
      <c r="J4" s="232">
        <f t="shared" si="0"/>
        <v>4912.8196308724828</v>
      </c>
    </row>
    <row r="5" spans="2:10" ht="40.35" customHeight="1" x14ac:dyDescent="0.2">
      <c r="B5" s="62" t="s">
        <v>260</v>
      </c>
      <c r="C5" s="231">
        <v>727</v>
      </c>
      <c r="D5" s="231">
        <v>131</v>
      </c>
      <c r="F5" s="232">
        <v>761.57190740546775</v>
      </c>
      <c r="G5" s="232">
        <v>168.65622708704308</v>
      </c>
      <c r="I5" s="367">
        <f t="shared" si="0"/>
        <v>803.69484060402681</v>
      </c>
      <c r="J5" s="367">
        <f t="shared" si="0"/>
        <v>144.81984060402684</v>
      </c>
    </row>
    <row r="6" spans="2:10" ht="26.4" x14ac:dyDescent="0.2">
      <c r="B6" s="79" t="s">
        <v>261</v>
      </c>
      <c r="C6" s="230">
        <v>1309</v>
      </c>
      <c r="D6" s="230">
        <v>648</v>
      </c>
      <c r="F6" s="232">
        <v>1371.248455012046</v>
      </c>
      <c r="G6" s="232">
        <v>678.81512517021065</v>
      </c>
      <c r="I6" s="232">
        <f t="shared" si="0"/>
        <v>1447.0929110738255</v>
      </c>
      <c r="J6" s="232">
        <f t="shared" si="0"/>
        <v>716.36073825503354</v>
      </c>
    </row>
    <row r="7" spans="2:10" ht="13.8" thickBot="1" x14ac:dyDescent="0.25">
      <c r="B7" s="72" t="s">
        <v>262</v>
      </c>
      <c r="C7" s="628" t="s">
        <v>263</v>
      </c>
      <c r="D7" s="629"/>
      <c r="F7" s="628" t="s">
        <v>263</v>
      </c>
      <c r="G7" s="629"/>
      <c r="I7" s="628" t="s">
        <v>263</v>
      </c>
      <c r="J7" s="629"/>
    </row>
    <row r="10" spans="2:10" ht="13.2" x14ac:dyDescent="0.2">
      <c r="B10" s="190" t="s">
        <v>678</v>
      </c>
    </row>
    <row r="11" spans="2:10" ht="13.2" x14ac:dyDescent="0.2">
      <c r="B11" s="190" t="s">
        <v>679</v>
      </c>
    </row>
  </sheetData>
  <mergeCells count="3">
    <mergeCell ref="C7:D7"/>
    <mergeCell ref="F7:G7"/>
    <mergeCell ref="I7:J7"/>
  </mergeCells>
  <hyperlinks>
    <hyperlink ref="C3" location="_ftn1" display="_ftn1" xr:uid="{00000000-0004-0000-0800-000000000000}"/>
    <hyperlink ref="B6" location="_ftn2" display="_ftn2" xr:uid="{00000000-0004-0000-0800-000001000000}"/>
    <hyperlink ref="B10" location="_ftnref1" display="_ftnref1" xr:uid="{00000000-0004-0000-0800-000002000000}"/>
    <hyperlink ref="B11" location="_ftnref2" display="_ftnref2" xr:uid="{00000000-0004-0000-0800-000003000000}"/>
    <hyperlink ref="F3" location="_ftn1" display="_ftn1" xr:uid="{00000000-0004-0000-0800-000004000000}"/>
    <hyperlink ref="I3" location="_ftn1" display="_ftn1" xr:uid="{00000000-0004-0000-0800-000005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3"/>
  <sheetViews>
    <sheetView zoomScale="70" zoomScaleNormal="70" workbookViewId="0">
      <selection activeCell="G21" sqref="G21"/>
    </sheetView>
  </sheetViews>
  <sheetFormatPr defaultColWidth="9.28515625" defaultRowHeight="10.199999999999999" x14ac:dyDescent="0.2"/>
  <cols>
    <col min="1" max="1" width="25" style="11" customWidth="1"/>
    <col min="2" max="2" width="48.7109375" style="11" customWidth="1"/>
    <col min="3" max="4" width="25" style="73" customWidth="1"/>
    <col min="5" max="16384" width="9.28515625" style="11"/>
  </cols>
  <sheetData>
    <row r="1" spans="1:4" ht="13.2" x14ac:dyDescent="0.2">
      <c r="A1" s="86"/>
    </row>
    <row r="2" spans="1:4" ht="12" x14ac:dyDescent="0.2">
      <c r="A2" s="630" t="s">
        <v>432</v>
      </c>
      <c r="B2" s="630"/>
      <c r="C2" s="630"/>
      <c r="D2" s="630"/>
    </row>
    <row r="3" spans="1:4" ht="13.8" x14ac:dyDescent="0.2">
      <c r="A3" s="80"/>
      <c r="B3" s="80"/>
      <c r="C3" s="631" t="s">
        <v>278</v>
      </c>
      <c r="D3" s="631" t="s">
        <v>279</v>
      </c>
    </row>
    <row r="4" spans="1:4" ht="13.2" x14ac:dyDescent="0.2">
      <c r="A4" s="81" t="s">
        <v>2</v>
      </c>
      <c r="B4" s="81" t="s">
        <v>277</v>
      </c>
      <c r="C4" s="631"/>
      <c r="D4" s="631"/>
    </row>
    <row r="5" spans="1:4" ht="13.2" x14ac:dyDescent="0.2">
      <c r="A5" s="82" t="s">
        <v>6</v>
      </c>
      <c r="B5" s="83" t="s">
        <v>264</v>
      </c>
      <c r="C5" s="84" t="s">
        <v>265</v>
      </c>
      <c r="D5" s="84" t="s">
        <v>280</v>
      </c>
    </row>
    <row r="6" spans="1:4" ht="13.2" x14ac:dyDescent="0.2">
      <c r="A6" s="82" t="s">
        <v>7</v>
      </c>
      <c r="B6" s="83" t="s">
        <v>266</v>
      </c>
      <c r="C6" s="84" t="s">
        <v>267</v>
      </c>
      <c r="D6" s="84" t="s">
        <v>281</v>
      </c>
    </row>
    <row r="7" spans="1:4" ht="13.2" x14ac:dyDescent="0.2">
      <c r="A7" s="82" t="s">
        <v>282</v>
      </c>
      <c r="B7" s="83" t="s">
        <v>268</v>
      </c>
      <c r="C7" s="84" t="s">
        <v>269</v>
      </c>
      <c r="D7" s="84" t="s">
        <v>283</v>
      </c>
    </row>
    <row r="8" spans="1:4" ht="13.2" x14ac:dyDescent="0.2">
      <c r="A8" s="82" t="s">
        <v>8</v>
      </c>
      <c r="B8" s="83" t="s">
        <v>270</v>
      </c>
      <c r="C8" s="84" t="s">
        <v>271</v>
      </c>
      <c r="D8" s="84" t="s">
        <v>284</v>
      </c>
    </row>
    <row r="9" spans="1:4" ht="13.2" x14ac:dyDescent="0.2">
      <c r="A9" s="82" t="s">
        <v>8</v>
      </c>
      <c r="B9" s="83" t="s">
        <v>272</v>
      </c>
      <c r="C9" s="84" t="s">
        <v>273</v>
      </c>
      <c r="D9" s="84" t="s">
        <v>271</v>
      </c>
    </row>
    <row r="10" spans="1:4" ht="13.2" x14ac:dyDescent="0.2">
      <c r="A10" s="82" t="s">
        <v>8</v>
      </c>
      <c r="B10" s="83" t="s">
        <v>274</v>
      </c>
      <c r="C10" s="84" t="s">
        <v>275</v>
      </c>
      <c r="D10" s="84" t="s">
        <v>276</v>
      </c>
    </row>
    <row r="11" spans="1:4" ht="13.2" x14ac:dyDescent="0.2">
      <c r="A11" s="82" t="s">
        <v>9</v>
      </c>
      <c r="B11" s="83" t="s">
        <v>285</v>
      </c>
      <c r="C11" s="84" t="s">
        <v>286</v>
      </c>
      <c r="D11" s="84" t="s">
        <v>287</v>
      </c>
    </row>
    <row r="12" spans="1:4" ht="13.2" x14ac:dyDescent="0.2">
      <c r="A12" s="82" t="s">
        <v>10</v>
      </c>
      <c r="B12" s="83" t="s">
        <v>288</v>
      </c>
      <c r="C12" s="84" t="s">
        <v>289</v>
      </c>
      <c r="D12" s="84" t="s">
        <v>290</v>
      </c>
    </row>
    <row r="13" spans="1:4" ht="13.2" x14ac:dyDescent="0.2">
      <c r="A13" s="82" t="s">
        <v>10</v>
      </c>
      <c r="B13" s="83" t="s">
        <v>291</v>
      </c>
      <c r="C13" s="84" t="s">
        <v>292</v>
      </c>
      <c r="D13" s="84" t="s">
        <v>293</v>
      </c>
    </row>
    <row r="14" spans="1:4" ht="13.2" x14ac:dyDescent="0.2">
      <c r="A14" s="82" t="s">
        <v>10</v>
      </c>
      <c r="B14" s="83" t="s">
        <v>294</v>
      </c>
      <c r="C14" s="84" t="s">
        <v>295</v>
      </c>
      <c r="D14" s="84" t="s">
        <v>296</v>
      </c>
    </row>
    <row r="15" spans="1:4" ht="13.2" x14ac:dyDescent="0.2">
      <c r="A15" s="82" t="s">
        <v>10</v>
      </c>
      <c r="B15" s="83" t="s">
        <v>297</v>
      </c>
      <c r="C15" s="84" t="s">
        <v>298</v>
      </c>
      <c r="D15" s="84" t="s">
        <v>299</v>
      </c>
    </row>
    <row r="16" spans="1:4" ht="13.2" x14ac:dyDescent="0.2">
      <c r="A16" s="82" t="s">
        <v>11</v>
      </c>
      <c r="B16" s="83" t="s">
        <v>300</v>
      </c>
      <c r="C16" s="84" t="s">
        <v>301</v>
      </c>
      <c r="D16" s="84" t="s">
        <v>302</v>
      </c>
    </row>
    <row r="17" spans="1:4" ht="13.2" x14ac:dyDescent="0.2">
      <c r="A17" s="82" t="s">
        <v>11</v>
      </c>
      <c r="B17" s="83" t="s">
        <v>303</v>
      </c>
      <c r="C17" s="84" t="s">
        <v>304</v>
      </c>
      <c r="D17" s="84" t="s">
        <v>305</v>
      </c>
    </row>
    <row r="18" spans="1:4" ht="13.2" x14ac:dyDescent="0.2">
      <c r="A18" s="82" t="s">
        <v>11</v>
      </c>
      <c r="B18" s="83" t="s">
        <v>306</v>
      </c>
      <c r="C18" s="84" t="s">
        <v>307</v>
      </c>
      <c r="D18" s="84" t="s">
        <v>308</v>
      </c>
    </row>
    <row r="19" spans="1:4" ht="13.2" x14ac:dyDescent="0.2">
      <c r="A19" s="82" t="s">
        <v>11</v>
      </c>
      <c r="B19" s="83" t="s">
        <v>309</v>
      </c>
      <c r="C19" s="84" t="s">
        <v>310</v>
      </c>
      <c r="D19" s="84" t="s">
        <v>311</v>
      </c>
    </row>
    <row r="20" spans="1:4" ht="13.2" x14ac:dyDescent="0.2">
      <c r="A20" s="82" t="s">
        <v>11</v>
      </c>
      <c r="B20" s="83" t="s">
        <v>312</v>
      </c>
      <c r="C20" s="84" t="s">
        <v>313</v>
      </c>
      <c r="D20" s="84" t="s">
        <v>314</v>
      </c>
    </row>
    <row r="21" spans="1:4" ht="13.2" x14ac:dyDescent="0.2">
      <c r="A21" s="82" t="s">
        <v>11</v>
      </c>
      <c r="B21" s="83" t="s">
        <v>315</v>
      </c>
      <c r="C21" s="84" t="s">
        <v>316</v>
      </c>
      <c r="D21" s="84" t="s">
        <v>317</v>
      </c>
    </row>
    <row r="22" spans="1:4" ht="14.4" x14ac:dyDescent="0.2">
      <c r="A22" s="82" t="s">
        <v>11</v>
      </c>
      <c r="B22" s="83" t="s">
        <v>318</v>
      </c>
      <c r="C22" s="85"/>
      <c r="D22" s="84" t="s">
        <v>319</v>
      </c>
    </row>
    <row r="23" spans="1:4" ht="13.2" x14ac:dyDescent="0.2">
      <c r="A23" s="82" t="s">
        <v>222</v>
      </c>
      <c r="B23" s="83" t="s">
        <v>320</v>
      </c>
      <c r="C23" s="84" t="s">
        <v>321</v>
      </c>
      <c r="D23" s="84" t="s">
        <v>322</v>
      </c>
    </row>
    <row r="24" spans="1:4" ht="13.2" x14ac:dyDescent="0.2">
      <c r="A24" s="82" t="s">
        <v>225</v>
      </c>
      <c r="B24" s="83" t="s">
        <v>323</v>
      </c>
      <c r="C24" s="84" t="s">
        <v>324</v>
      </c>
      <c r="D24" s="84" t="s">
        <v>325</v>
      </c>
    </row>
    <row r="25" spans="1:4" ht="13.2" x14ac:dyDescent="0.2">
      <c r="A25" s="82" t="s">
        <v>14</v>
      </c>
      <c r="B25" s="83" t="s">
        <v>326</v>
      </c>
      <c r="C25" s="84" t="s">
        <v>327</v>
      </c>
      <c r="D25" s="84" t="s">
        <v>328</v>
      </c>
    </row>
    <row r="26" spans="1:4" ht="13.2" x14ac:dyDescent="0.2">
      <c r="A26" s="82" t="s">
        <v>14</v>
      </c>
      <c r="B26" s="83" t="s">
        <v>329</v>
      </c>
      <c r="C26" s="84" t="s">
        <v>330</v>
      </c>
      <c r="D26" s="84" t="s">
        <v>331</v>
      </c>
    </row>
    <row r="27" spans="1:4" ht="13.2" x14ac:dyDescent="0.2">
      <c r="A27" s="82" t="s">
        <v>14</v>
      </c>
      <c r="B27" s="83" t="s">
        <v>332</v>
      </c>
      <c r="C27" s="84" t="s">
        <v>333</v>
      </c>
      <c r="D27" s="84" t="s">
        <v>334</v>
      </c>
    </row>
    <row r="28" spans="1:4" ht="13.2" x14ac:dyDescent="0.2">
      <c r="A28" s="82" t="s">
        <v>14</v>
      </c>
      <c r="B28" s="83" t="s">
        <v>335</v>
      </c>
      <c r="C28" s="84" t="s">
        <v>336</v>
      </c>
      <c r="D28" s="84" t="s">
        <v>337</v>
      </c>
    </row>
    <row r="29" spans="1:4" ht="26.4" x14ac:dyDescent="0.2">
      <c r="A29" s="82" t="s">
        <v>14</v>
      </c>
      <c r="B29" s="83" t="s">
        <v>338</v>
      </c>
      <c r="C29" s="84" t="s">
        <v>339</v>
      </c>
      <c r="D29" s="84" t="s">
        <v>340</v>
      </c>
    </row>
    <row r="30" spans="1:4" ht="13.2" x14ac:dyDescent="0.2">
      <c r="A30" s="82" t="s">
        <v>14</v>
      </c>
      <c r="B30" s="83" t="s">
        <v>341</v>
      </c>
      <c r="C30" s="84" t="s">
        <v>342</v>
      </c>
      <c r="D30" s="84" t="s">
        <v>343</v>
      </c>
    </row>
    <row r="31" spans="1:4" ht="13.2" x14ac:dyDescent="0.2">
      <c r="A31" s="82" t="s">
        <v>16</v>
      </c>
      <c r="B31" s="83" t="s">
        <v>344</v>
      </c>
      <c r="C31" s="84" t="s">
        <v>345</v>
      </c>
      <c r="D31" s="84" t="s">
        <v>346</v>
      </c>
    </row>
    <row r="32" spans="1:4" ht="13.2" x14ac:dyDescent="0.2">
      <c r="A32" s="82" t="s">
        <v>17</v>
      </c>
      <c r="B32" s="83" t="s">
        <v>347</v>
      </c>
      <c r="C32" s="84" t="s">
        <v>348</v>
      </c>
      <c r="D32" s="84" t="s">
        <v>349</v>
      </c>
    </row>
    <row r="33" spans="1:4" ht="13.2" x14ac:dyDescent="0.2">
      <c r="A33" s="82" t="s">
        <v>350</v>
      </c>
      <c r="B33" s="83" t="s">
        <v>351</v>
      </c>
      <c r="C33" s="84" t="s">
        <v>352</v>
      </c>
      <c r="D33" s="84" t="s">
        <v>353</v>
      </c>
    </row>
    <row r="34" spans="1:4" ht="13.2" x14ac:dyDescent="0.2">
      <c r="A34" s="82" t="s">
        <v>19</v>
      </c>
      <c r="B34" s="83" t="s">
        <v>354</v>
      </c>
      <c r="C34" s="84" t="s">
        <v>310</v>
      </c>
      <c r="D34" s="84" t="s">
        <v>355</v>
      </c>
    </row>
    <row r="35" spans="1:4" ht="13.2" x14ac:dyDescent="0.2">
      <c r="A35" s="82" t="s">
        <v>20</v>
      </c>
      <c r="B35" s="83" t="s">
        <v>356</v>
      </c>
      <c r="C35" s="84" t="s">
        <v>357</v>
      </c>
      <c r="D35" s="84" t="s">
        <v>358</v>
      </c>
    </row>
    <row r="36" spans="1:4" ht="13.2" x14ac:dyDescent="0.2">
      <c r="A36" s="82" t="s">
        <v>20</v>
      </c>
      <c r="B36" s="83" t="s">
        <v>359</v>
      </c>
      <c r="C36" s="84" t="s">
        <v>360</v>
      </c>
      <c r="D36" s="84" t="s">
        <v>361</v>
      </c>
    </row>
    <row r="37" spans="1:4" ht="13.2" x14ac:dyDescent="0.2">
      <c r="A37" s="82" t="s">
        <v>20</v>
      </c>
      <c r="B37" s="83" t="s">
        <v>362</v>
      </c>
      <c r="C37" s="84" t="s">
        <v>363</v>
      </c>
      <c r="D37" s="84" t="s">
        <v>364</v>
      </c>
    </row>
    <row r="38" spans="1:4" ht="13.2" x14ac:dyDescent="0.2">
      <c r="A38" s="82" t="s">
        <v>20</v>
      </c>
      <c r="B38" s="83" t="s">
        <v>365</v>
      </c>
      <c r="C38" s="84" t="s">
        <v>366</v>
      </c>
      <c r="D38" s="84" t="s">
        <v>367</v>
      </c>
    </row>
    <row r="39" spans="1:4" ht="13.2" x14ac:dyDescent="0.2">
      <c r="A39" s="82" t="s">
        <v>20</v>
      </c>
      <c r="B39" s="83" t="s">
        <v>368</v>
      </c>
      <c r="C39" s="84" t="s">
        <v>304</v>
      </c>
      <c r="D39" s="84" t="s">
        <v>369</v>
      </c>
    </row>
    <row r="40" spans="1:4" ht="13.2" x14ac:dyDescent="0.2">
      <c r="A40" s="82" t="s">
        <v>20</v>
      </c>
      <c r="B40" s="83" t="s">
        <v>370</v>
      </c>
      <c r="C40" s="84" t="s">
        <v>371</v>
      </c>
      <c r="D40" s="84" t="s">
        <v>372</v>
      </c>
    </row>
    <row r="41" spans="1:4" ht="13.2" x14ac:dyDescent="0.2">
      <c r="A41" s="82" t="s">
        <v>20</v>
      </c>
      <c r="B41" s="83" t="s">
        <v>373</v>
      </c>
      <c r="C41" s="84" t="s">
        <v>286</v>
      </c>
      <c r="D41" s="84" t="s">
        <v>374</v>
      </c>
    </row>
    <row r="42" spans="1:4" ht="13.2" x14ac:dyDescent="0.2">
      <c r="A42" s="82" t="s">
        <v>20</v>
      </c>
      <c r="B42" s="83" t="s">
        <v>375</v>
      </c>
      <c r="C42" s="84" t="s">
        <v>376</v>
      </c>
      <c r="D42" s="84" t="s">
        <v>377</v>
      </c>
    </row>
    <row r="43" spans="1:4" ht="13.2" x14ac:dyDescent="0.2">
      <c r="A43" s="82" t="s">
        <v>20</v>
      </c>
      <c r="B43" s="83" t="s">
        <v>378</v>
      </c>
      <c r="C43" s="84" t="s">
        <v>379</v>
      </c>
      <c r="D43" s="84" t="s">
        <v>380</v>
      </c>
    </row>
    <row r="44" spans="1:4" ht="13.2" x14ac:dyDescent="0.2">
      <c r="A44" s="82" t="s">
        <v>20</v>
      </c>
      <c r="B44" s="83" t="s">
        <v>381</v>
      </c>
      <c r="C44" s="84" t="s">
        <v>382</v>
      </c>
      <c r="D44" s="84" t="s">
        <v>383</v>
      </c>
    </row>
    <row r="45" spans="1:4" ht="13.2" x14ac:dyDescent="0.2">
      <c r="A45" s="82" t="s">
        <v>239</v>
      </c>
      <c r="B45" s="83" t="s">
        <v>384</v>
      </c>
      <c r="C45" s="84" t="s">
        <v>385</v>
      </c>
      <c r="D45" s="84" t="s">
        <v>386</v>
      </c>
    </row>
    <row r="46" spans="1:4" ht="13.2" x14ac:dyDescent="0.2">
      <c r="A46" s="82" t="s">
        <v>239</v>
      </c>
      <c r="B46" s="83" t="s">
        <v>387</v>
      </c>
      <c r="C46" s="84" t="s">
        <v>388</v>
      </c>
      <c r="D46" s="84" t="s">
        <v>298</v>
      </c>
    </row>
    <row r="47" spans="1:4" ht="13.2" x14ac:dyDescent="0.2">
      <c r="A47" s="82" t="s">
        <v>185</v>
      </c>
      <c r="B47" s="83" t="s">
        <v>389</v>
      </c>
      <c r="C47" s="84" t="s">
        <v>280</v>
      </c>
      <c r="D47" s="84" t="s">
        <v>390</v>
      </c>
    </row>
    <row r="48" spans="1:4" ht="13.2" x14ac:dyDescent="0.2">
      <c r="A48" s="82" t="s">
        <v>185</v>
      </c>
      <c r="B48" s="83" t="s">
        <v>391</v>
      </c>
      <c r="C48" s="84" t="s">
        <v>273</v>
      </c>
      <c r="D48" s="84" t="s">
        <v>392</v>
      </c>
    </row>
    <row r="49" spans="1:4" ht="13.2" x14ac:dyDescent="0.2">
      <c r="A49" s="82" t="s">
        <v>185</v>
      </c>
      <c r="B49" s="83" t="s">
        <v>393</v>
      </c>
      <c r="C49" s="84" t="s">
        <v>394</v>
      </c>
      <c r="D49" s="84" t="s">
        <v>395</v>
      </c>
    </row>
    <row r="50" spans="1:4" ht="13.2" x14ac:dyDescent="0.2">
      <c r="A50" s="82" t="s">
        <v>185</v>
      </c>
      <c r="B50" s="83" t="s">
        <v>396</v>
      </c>
      <c r="C50" s="84" t="s">
        <v>397</v>
      </c>
      <c r="D50" s="84" t="s">
        <v>398</v>
      </c>
    </row>
    <row r="51" spans="1:4" ht="13.2" x14ac:dyDescent="0.2">
      <c r="A51" s="82" t="s">
        <v>185</v>
      </c>
      <c r="B51" s="83" t="s">
        <v>399</v>
      </c>
      <c r="C51" s="84" t="s">
        <v>400</v>
      </c>
      <c r="D51" s="84" t="s">
        <v>401</v>
      </c>
    </row>
    <row r="52" spans="1:4" ht="13.2" x14ac:dyDescent="0.2">
      <c r="A52" s="82" t="s">
        <v>185</v>
      </c>
      <c r="B52" s="83" t="s">
        <v>402</v>
      </c>
      <c r="C52" s="84" t="s">
        <v>403</v>
      </c>
      <c r="D52" s="84" t="s">
        <v>404</v>
      </c>
    </row>
    <row r="53" spans="1:4" ht="13.2" x14ac:dyDescent="0.2">
      <c r="A53" s="82" t="s">
        <v>185</v>
      </c>
      <c r="B53" s="83" t="s">
        <v>405</v>
      </c>
      <c r="C53" s="84" t="s">
        <v>406</v>
      </c>
      <c r="D53" s="84" t="s">
        <v>407</v>
      </c>
    </row>
    <row r="54" spans="1:4" ht="13.2" x14ac:dyDescent="0.2">
      <c r="A54" s="82" t="s">
        <v>185</v>
      </c>
      <c r="B54" s="83" t="s">
        <v>408</v>
      </c>
      <c r="C54" s="84" t="s">
        <v>273</v>
      </c>
      <c r="D54" s="84" t="s">
        <v>267</v>
      </c>
    </row>
    <row r="55" spans="1:4" ht="13.2" x14ac:dyDescent="0.2">
      <c r="A55" s="82" t="s">
        <v>185</v>
      </c>
      <c r="B55" s="83" t="s">
        <v>409</v>
      </c>
      <c r="C55" s="84" t="s">
        <v>410</v>
      </c>
      <c r="D55" s="84" t="s">
        <v>411</v>
      </c>
    </row>
    <row r="56" spans="1:4" ht="13.2" x14ac:dyDescent="0.2">
      <c r="A56" s="82" t="s">
        <v>185</v>
      </c>
      <c r="B56" s="83" t="s">
        <v>412</v>
      </c>
      <c r="C56" s="84" t="s">
        <v>413</v>
      </c>
      <c r="D56" s="84" t="s">
        <v>414</v>
      </c>
    </row>
    <row r="57" spans="1:4" ht="13.2" x14ac:dyDescent="0.2">
      <c r="A57" s="82" t="s">
        <v>185</v>
      </c>
      <c r="B57" s="83" t="s">
        <v>415</v>
      </c>
      <c r="C57" s="84" t="s">
        <v>416</v>
      </c>
      <c r="D57" s="84" t="s">
        <v>417</v>
      </c>
    </row>
    <row r="58" spans="1:4" ht="13.2" x14ac:dyDescent="0.2">
      <c r="A58" s="82" t="s">
        <v>185</v>
      </c>
      <c r="B58" s="83" t="s">
        <v>418</v>
      </c>
      <c r="C58" s="84" t="s">
        <v>298</v>
      </c>
      <c r="D58" s="84" t="s">
        <v>364</v>
      </c>
    </row>
    <row r="59" spans="1:4" ht="13.2" x14ac:dyDescent="0.2">
      <c r="A59" s="82" t="s">
        <v>185</v>
      </c>
      <c r="B59" s="83" t="s">
        <v>419</v>
      </c>
      <c r="C59" s="84" t="s">
        <v>420</v>
      </c>
      <c r="D59" s="84" t="s">
        <v>397</v>
      </c>
    </row>
    <row r="60" spans="1:4" ht="13.2" x14ac:dyDescent="0.2">
      <c r="A60" s="82" t="s">
        <v>185</v>
      </c>
      <c r="B60" s="83" t="s">
        <v>421</v>
      </c>
      <c r="C60" s="84" t="s">
        <v>422</v>
      </c>
      <c r="D60" s="84" t="s">
        <v>423</v>
      </c>
    </row>
    <row r="61" spans="1:4" ht="13.2" x14ac:dyDescent="0.2">
      <c r="A61" s="82" t="s">
        <v>185</v>
      </c>
      <c r="B61" s="83" t="s">
        <v>424</v>
      </c>
      <c r="C61" s="84" t="s">
        <v>410</v>
      </c>
      <c r="D61" s="84" t="s">
        <v>425</v>
      </c>
    </row>
    <row r="62" spans="1:4" ht="13.2" x14ac:dyDescent="0.2">
      <c r="A62" s="82" t="s">
        <v>185</v>
      </c>
      <c r="B62" s="83" t="s">
        <v>426</v>
      </c>
      <c r="C62" s="84" t="s">
        <v>427</v>
      </c>
      <c r="D62" s="84" t="s">
        <v>428</v>
      </c>
    </row>
    <row r="63" spans="1:4" ht="13.2" x14ac:dyDescent="0.2">
      <c r="A63" s="82" t="s">
        <v>185</v>
      </c>
      <c r="B63" s="83" t="s">
        <v>429</v>
      </c>
      <c r="C63" s="84" t="s">
        <v>430</v>
      </c>
      <c r="D63" s="84" t="s">
        <v>431</v>
      </c>
    </row>
  </sheetData>
  <mergeCells count="3">
    <mergeCell ref="A2:D2"/>
    <mergeCell ref="C3:C4"/>
    <mergeCell ref="D3:D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H64"/>
  <sheetViews>
    <sheetView workbookViewId="0">
      <selection activeCell="L21" sqref="L21"/>
    </sheetView>
  </sheetViews>
  <sheetFormatPr defaultColWidth="9.28515625" defaultRowHeight="13.2" x14ac:dyDescent="0.2"/>
  <cols>
    <col min="1" max="1" width="3.28515625" style="86" customWidth="1"/>
    <col min="2" max="2" width="15.7109375" style="86" customWidth="1"/>
    <col min="3" max="3" width="12.7109375" style="86" customWidth="1"/>
    <col min="4" max="15" width="10.7109375" style="86" customWidth="1"/>
    <col min="16" max="16" width="6.7109375" style="86" customWidth="1"/>
    <col min="17" max="17" width="10.7109375" style="98" customWidth="1"/>
    <col min="18" max="18" width="26.28515625" style="86" customWidth="1"/>
    <col min="19" max="19" width="13.42578125" style="86" customWidth="1"/>
    <col min="20" max="20" width="16.28515625" style="86" customWidth="1"/>
    <col min="21" max="21" width="7.7109375" style="86" bestFit="1" customWidth="1"/>
    <col min="22" max="22" width="7.42578125" style="86" customWidth="1"/>
    <col min="23" max="16384" width="9.28515625" style="86"/>
  </cols>
  <sheetData>
    <row r="1" spans="2:34" s="96" customFormat="1" ht="10.199999999999999" x14ac:dyDescent="0.2">
      <c r="Q1" s="97"/>
    </row>
    <row r="2" spans="2:34" ht="13.8" thickBot="1" x14ac:dyDescent="0.25">
      <c r="Q2" s="98" t="s">
        <v>553</v>
      </c>
    </row>
    <row r="3" spans="2:34" x14ac:dyDescent="0.2">
      <c r="C3" s="99"/>
      <c r="D3" s="86" t="s">
        <v>554</v>
      </c>
      <c r="Q3" s="100" t="s">
        <v>555</v>
      </c>
      <c r="R3" s="101"/>
      <c r="S3" s="101"/>
      <c r="T3" s="101"/>
      <c r="U3" s="101"/>
      <c r="V3" s="101"/>
      <c r="W3" s="101"/>
      <c r="X3" s="101"/>
      <c r="Y3" s="101"/>
      <c r="Z3" s="101"/>
      <c r="AA3" s="101"/>
      <c r="AB3" s="101"/>
      <c r="AC3" s="101"/>
      <c r="AD3" s="101"/>
      <c r="AE3" s="101"/>
      <c r="AF3" s="101"/>
      <c r="AG3" s="101"/>
      <c r="AH3" s="102"/>
    </row>
    <row r="4" spans="2:34" x14ac:dyDescent="0.2">
      <c r="B4" s="98" t="s">
        <v>556</v>
      </c>
      <c r="C4" s="103"/>
      <c r="D4" s="86" t="s">
        <v>557</v>
      </c>
      <c r="Q4" s="104"/>
      <c r="R4" s="105" t="s">
        <v>558</v>
      </c>
      <c r="S4" s="106">
        <v>91.4</v>
      </c>
      <c r="T4" s="107" t="s">
        <v>559</v>
      </c>
      <c r="U4" s="108">
        <f t="shared" ref="U4:U10" si="0">S4/42</f>
        <v>2.1761904761904765</v>
      </c>
      <c r="V4" s="107" t="s">
        <v>560</v>
      </c>
      <c r="W4" t="s">
        <v>89</v>
      </c>
      <c r="AH4" s="109"/>
    </row>
    <row r="5" spans="2:34" x14ac:dyDescent="0.25">
      <c r="Q5" s="110"/>
      <c r="R5" s="105" t="s">
        <v>561</v>
      </c>
      <c r="S5" s="106">
        <v>127.5</v>
      </c>
      <c r="T5" s="107" t="s">
        <v>559</v>
      </c>
      <c r="U5" s="108">
        <f t="shared" si="0"/>
        <v>3.0357142857142856</v>
      </c>
      <c r="V5" s="107" t="s">
        <v>560</v>
      </c>
      <c r="W5" s="111" t="s">
        <v>562</v>
      </c>
      <c r="AH5" s="109"/>
    </row>
    <row r="6" spans="2:34" x14ac:dyDescent="0.2">
      <c r="C6" s="632" t="s">
        <v>563</v>
      </c>
      <c r="D6" s="632"/>
      <c r="E6" s="632"/>
      <c r="F6" s="633" t="s">
        <v>564</v>
      </c>
      <c r="G6" s="632"/>
      <c r="H6" s="632"/>
      <c r="I6" s="632" t="s">
        <v>565</v>
      </c>
      <c r="J6" s="632"/>
      <c r="K6" s="632"/>
      <c r="L6" s="632" t="s">
        <v>566</v>
      </c>
      <c r="M6" s="632"/>
      <c r="N6" s="632"/>
      <c r="Q6" s="112"/>
      <c r="R6" s="105" t="s">
        <v>567</v>
      </c>
      <c r="S6" s="106">
        <v>129.6</v>
      </c>
      <c r="T6" s="107" t="s">
        <v>559</v>
      </c>
      <c r="U6" s="108">
        <f t="shared" si="0"/>
        <v>3.0857142857142854</v>
      </c>
      <c r="V6" s="107" t="s">
        <v>560</v>
      </c>
      <c r="AH6" s="109"/>
    </row>
    <row r="7" spans="2:34" ht="39.6" x14ac:dyDescent="0.2">
      <c r="C7" s="113" t="s">
        <v>568</v>
      </c>
      <c r="D7" s="114" t="s">
        <v>569</v>
      </c>
      <c r="E7" s="115" t="s">
        <v>570</v>
      </c>
      <c r="F7" s="116" t="s">
        <v>65</v>
      </c>
      <c r="G7" s="114" t="s">
        <v>569</v>
      </c>
      <c r="H7" s="117" t="s">
        <v>66</v>
      </c>
      <c r="I7" s="118" t="s">
        <v>65</v>
      </c>
      <c r="J7" s="119" t="s">
        <v>569</v>
      </c>
      <c r="K7" s="120" t="s">
        <v>66</v>
      </c>
      <c r="L7" s="121" t="s">
        <v>65</v>
      </c>
      <c r="M7" s="122" t="s">
        <v>569</v>
      </c>
      <c r="N7" s="123" t="s">
        <v>66</v>
      </c>
      <c r="Q7" s="112"/>
      <c r="R7" s="105" t="s">
        <v>571</v>
      </c>
      <c r="S7" s="86">
        <v>124.6</v>
      </c>
      <c r="T7" s="107" t="s">
        <v>559</v>
      </c>
      <c r="U7" s="86">
        <f t="shared" si="0"/>
        <v>2.9666666666666663</v>
      </c>
      <c r="V7" s="107" t="s">
        <v>560</v>
      </c>
      <c r="AH7" s="109"/>
    </row>
    <row r="8" spans="2:34" ht="16.95" customHeight="1" x14ac:dyDescent="0.2">
      <c r="B8" s="124">
        <v>2017</v>
      </c>
      <c r="C8" s="125">
        <f>D8*(1-30%)</f>
        <v>45.43</v>
      </c>
      <c r="D8" s="127">
        <f>S11</f>
        <v>64.900000000000006</v>
      </c>
      <c r="E8" s="126">
        <f>D8*(1+30%)</f>
        <v>84.37</v>
      </c>
      <c r="F8" s="125">
        <f>G8*(1-30%)</f>
        <v>1.0816666666666666</v>
      </c>
      <c r="G8" s="127">
        <f>D8/$S$36</f>
        <v>1.5452380952380953</v>
      </c>
      <c r="H8" s="126">
        <f>G8*(1+30%)</f>
        <v>2.008809523809524</v>
      </c>
      <c r="I8" s="125">
        <f t="shared" ref="I8:K15" si="1">F8/$S$40</f>
        <v>0.35279408567079801</v>
      </c>
      <c r="J8" s="127">
        <f t="shared" si="1"/>
        <v>0.50399155095828285</v>
      </c>
      <c r="K8" s="126">
        <f t="shared" si="1"/>
        <v>0.65518901624576786</v>
      </c>
      <c r="L8" s="125">
        <f t="shared" ref="L8:N10" si="2">I8*$S$18</f>
        <v>0.27459066443866592</v>
      </c>
      <c r="M8" s="127">
        <f t="shared" si="2"/>
        <v>0.39227237776952278</v>
      </c>
      <c r="N8" s="126">
        <f t="shared" si="2"/>
        <v>0.5099540911003797</v>
      </c>
      <c r="Q8" s="112"/>
      <c r="R8" s="105" t="s">
        <v>572</v>
      </c>
      <c r="S8" s="86">
        <v>118.4</v>
      </c>
      <c r="T8" s="107" t="s">
        <v>559</v>
      </c>
      <c r="U8" s="86">
        <f t="shared" si="0"/>
        <v>2.8190476190476192</v>
      </c>
      <c r="V8" s="107" t="s">
        <v>560</v>
      </c>
      <c r="W8" s="128" t="s">
        <v>573</v>
      </c>
      <c r="AH8" s="109"/>
    </row>
    <row r="9" spans="2:34" ht="16.95" customHeight="1" x14ac:dyDescent="0.2">
      <c r="B9" s="183">
        <v>2016</v>
      </c>
      <c r="C9" s="160">
        <f>D9*(1-30%)</f>
        <v>36.47</v>
      </c>
      <c r="D9" s="161">
        <f>S10</f>
        <v>52.1</v>
      </c>
      <c r="E9" s="162">
        <f>D9*(1+30%)</f>
        <v>67.73</v>
      </c>
      <c r="F9" s="160">
        <f>G9*(1-30%)</f>
        <v>0.86833333333333329</v>
      </c>
      <c r="G9" s="161">
        <f t="shared" ref="G9:G15" si="3">D9/$S$36</f>
        <v>1.2404761904761905</v>
      </c>
      <c r="H9" s="162">
        <f>G9*(1+30%)</f>
        <v>1.6126190476190476</v>
      </c>
      <c r="I9" s="160">
        <f t="shared" si="1"/>
        <v>0.28321374211785172</v>
      </c>
      <c r="J9" s="161">
        <f t="shared" si="1"/>
        <v>0.40459106016835961</v>
      </c>
      <c r="K9" s="162">
        <f t="shared" si="1"/>
        <v>0.52596837821886744</v>
      </c>
      <c r="L9" s="160">
        <f t="shared" si="2"/>
        <v>0.22043410812410627</v>
      </c>
      <c r="M9" s="161">
        <f t="shared" si="2"/>
        <v>0.31490586874872323</v>
      </c>
      <c r="N9" s="162">
        <f t="shared" si="2"/>
        <v>0.40937762937334016</v>
      </c>
      <c r="Q9" s="112"/>
      <c r="R9" s="105" t="s">
        <v>575</v>
      </c>
      <c r="S9" s="103">
        <v>66.7</v>
      </c>
      <c r="T9" s="107" t="s">
        <v>559</v>
      </c>
      <c r="U9" s="86">
        <f t="shared" si="0"/>
        <v>1.5880952380952382</v>
      </c>
      <c r="V9" s="107" t="s">
        <v>560</v>
      </c>
      <c r="W9" s="128" t="s">
        <v>574</v>
      </c>
      <c r="AH9" s="109"/>
    </row>
    <row r="10" spans="2:34" ht="16.95" customHeight="1" x14ac:dyDescent="0.2">
      <c r="B10" s="124">
        <v>2015</v>
      </c>
      <c r="C10" s="125">
        <f t="shared" ref="C10:C15" si="4">D10*(1-30%)</f>
        <v>46.69</v>
      </c>
      <c r="D10" s="127">
        <f>S9</f>
        <v>66.7</v>
      </c>
      <c r="E10" s="126">
        <f t="shared" ref="E10:E15" si="5">D10*(1+30%)</f>
        <v>86.710000000000008</v>
      </c>
      <c r="F10" s="125">
        <f t="shared" ref="F10:F15" si="6">G10*(1-30%)</f>
        <v>1.1116666666666666</v>
      </c>
      <c r="G10" s="127">
        <f t="shared" si="3"/>
        <v>1.5880952380952382</v>
      </c>
      <c r="H10" s="126">
        <f t="shared" ref="H10:H15" si="7">G10*(1+30%)</f>
        <v>2.0645238095238096</v>
      </c>
      <c r="I10" s="125">
        <f t="shared" si="1"/>
        <v>0.36257882148293108</v>
      </c>
      <c r="J10" s="127">
        <f t="shared" si="1"/>
        <v>0.51796974497561588</v>
      </c>
      <c r="K10" s="126">
        <f t="shared" si="1"/>
        <v>0.67336066846830067</v>
      </c>
      <c r="L10" s="125">
        <f t="shared" si="2"/>
        <v>0.28220643017040092</v>
      </c>
      <c r="M10" s="127">
        <f t="shared" si="2"/>
        <v>0.40315204310057273</v>
      </c>
      <c r="N10" s="126">
        <f t="shared" si="2"/>
        <v>0.52409765603074465</v>
      </c>
      <c r="Q10" s="112"/>
      <c r="R10" s="105" t="s">
        <v>606</v>
      </c>
      <c r="S10" s="86">
        <v>52.1</v>
      </c>
      <c r="T10" s="107" t="s">
        <v>559</v>
      </c>
      <c r="U10" s="86">
        <f t="shared" si="0"/>
        <v>1.2404761904761905</v>
      </c>
      <c r="V10" s="107" t="s">
        <v>560</v>
      </c>
      <c r="W10" s="128" t="s">
        <v>609</v>
      </c>
      <c r="AH10" s="109"/>
    </row>
    <row r="11" spans="2:34" ht="16.95" customHeight="1" x14ac:dyDescent="0.2">
      <c r="B11" s="124">
        <v>2014</v>
      </c>
      <c r="C11" s="125">
        <f t="shared" si="4"/>
        <v>82.88</v>
      </c>
      <c r="D11" s="127">
        <f>S8</f>
        <v>118.4</v>
      </c>
      <c r="E11" s="126">
        <f t="shared" si="5"/>
        <v>153.92000000000002</v>
      </c>
      <c r="F11" s="125">
        <f t="shared" si="6"/>
        <v>1.9733333333333334</v>
      </c>
      <c r="G11" s="127">
        <f t="shared" si="3"/>
        <v>2.8190476190476192</v>
      </c>
      <c r="H11" s="126">
        <f t="shared" si="7"/>
        <v>3.6647619047619053</v>
      </c>
      <c r="I11" s="125">
        <f t="shared" si="1"/>
        <v>0.64361817786475328</v>
      </c>
      <c r="J11" s="127">
        <f t="shared" si="1"/>
        <v>0.91945453980679037</v>
      </c>
      <c r="K11" s="126">
        <f t="shared" si="1"/>
        <v>1.1952909017488276</v>
      </c>
      <c r="L11" s="125">
        <f t="shared" ref="L11:N15" si="8">I11*$S$18</f>
        <v>0.50094814590967718</v>
      </c>
      <c r="M11" s="127">
        <f t="shared" si="8"/>
        <v>0.71564020844239595</v>
      </c>
      <c r="N11" s="126">
        <f t="shared" si="8"/>
        <v>0.93033227097511484</v>
      </c>
      <c r="Q11" s="112"/>
      <c r="R11" s="105" t="s">
        <v>607</v>
      </c>
      <c r="S11" s="86">
        <v>64.900000000000006</v>
      </c>
      <c r="T11" s="107" t="s">
        <v>559</v>
      </c>
      <c r="U11" s="86">
        <f>S11/42</f>
        <v>1.5452380952380953</v>
      </c>
      <c r="V11" s="107" t="s">
        <v>560</v>
      </c>
      <c r="AH11" s="109"/>
    </row>
    <row r="12" spans="2:34" ht="16.95" customHeight="1" x14ac:dyDescent="0.2">
      <c r="B12" s="124">
        <v>2013</v>
      </c>
      <c r="C12" s="125">
        <f t="shared" si="4"/>
        <v>87.219999999999985</v>
      </c>
      <c r="D12" s="127">
        <f>S7</f>
        <v>124.6</v>
      </c>
      <c r="E12" s="126">
        <f t="shared" si="5"/>
        <v>161.97999999999999</v>
      </c>
      <c r="F12" s="125">
        <f t="shared" si="6"/>
        <v>2.0766666666666662</v>
      </c>
      <c r="G12" s="127">
        <f t="shared" si="3"/>
        <v>2.9666666666666663</v>
      </c>
      <c r="H12" s="126">
        <f t="shared" si="7"/>
        <v>3.8566666666666665</v>
      </c>
      <c r="I12" s="125">
        <f t="shared" si="1"/>
        <v>0.67732115677321147</v>
      </c>
      <c r="J12" s="127">
        <f t="shared" si="1"/>
        <v>0.96760165253315933</v>
      </c>
      <c r="K12" s="126">
        <f t="shared" si="1"/>
        <v>1.2578821482931073</v>
      </c>
      <c r="L12" s="125">
        <f t="shared" si="8"/>
        <v>0.52718022787454188</v>
      </c>
      <c r="M12" s="127">
        <f t="shared" si="8"/>
        <v>0.75311461124934564</v>
      </c>
      <c r="N12" s="126">
        <f t="shared" si="8"/>
        <v>0.97904899462414952</v>
      </c>
      <c r="Q12" s="112"/>
      <c r="R12" s="105" t="s">
        <v>608</v>
      </c>
      <c r="T12" s="107" t="s">
        <v>559</v>
      </c>
      <c r="U12" s="86">
        <f>S12/42</f>
        <v>0</v>
      </c>
      <c r="V12" s="107" t="s">
        <v>560</v>
      </c>
      <c r="W12" s="128"/>
      <c r="AH12" s="109"/>
    </row>
    <row r="13" spans="2:34" ht="16.95" customHeight="1" thickBot="1" x14ac:dyDescent="0.25">
      <c r="B13" s="124">
        <v>2012</v>
      </c>
      <c r="C13" s="125">
        <f t="shared" si="4"/>
        <v>90.719999999999985</v>
      </c>
      <c r="D13" s="127">
        <f>S6</f>
        <v>129.6</v>
      </c>
      <c r="E13" s="126">
        <f t="shared" si="5"/>
        <v>168.48</v>
      </c>
      <c r="F13" s="125">
        <f t="shared" si="6"/>
        <v>2.1599999999999997</v>
      </c>
      <c r="G13" s="127">
        <f t="shared" si="3"/>
        <v>3.0857142857142854</v>
      </c>
      <c r="H13" s="126">
        <f t="shared" si="7"/>
        <v>4.0114285714285716</v>
      </c>
      <c r="I13" s="125">
        <f t="shared" si="1"/>
        <v>0.70450097847358117</v>
      </c>
      <c r="J13" s="127">
        <f t="shared" si="1"/>
        <v>1.006429969247973</v>
      </c>
      <c r="K13" s="126">
        <f t="shared" si="1"/>
        <v>1.3083589600223653</v>
      </c>
      <c r="L13" s="125">
        <f>I13*$S$18</f>
        <v>0.54833513268491685</v>
      </c>
      <c r="M13" s="127">
        <f t="shared" si="8"/>
        <v>0.78333590383559548</v>
      </c>
      <c r="N13" s="126">
        <f t="shared" si="8"/>
        <v>1.0183366749862743</v>
      </c>
      <c r="Q13" s="129"/>
      <c r="R13" s="130"/>
      <c r="S13" s="131"/>
      <c r="T13" s="132"/>
      <c r="U13" s="131"/>
      <c r="V13" s="132"/>
      <c r="W13" s="133"/>
      <c r="X13" s="131"/>
      <c r="Y13" s="131"/>
      <c r="Z13" s="131"/>
      <c r="AA13" s="131"/>
      <c r="AB13" s="131"/>
      <c r="AC13" s="131"/>
      <c r="AD13" s="131"/>
      <c r="AE13" s="131"/>
      <c r="AF13" s="131"/>
      <c r="AG13" s="131"/>
      <c r="AH13" s="134"/>
    </row>
    <row r="14" spans="2:34" ht="16.95" customHeight="1" thickBot="1" x14ac:dyDescent="0.25">
      <c r="B14" s="135">
        <v>2011</v>
      </c>
      <c r="C14" s="136">
        <f t="shared" si="4"/>
        <v>89.25</v>
      </c>
      <c r="D14" s="127">
        <f>S5</f>
        <v>127.5</v>
      </c>
      <c r="E14" s="138">
        <f t="shared" si="5"/>
        <v>165.75</v>
      </c>
      <c r="F14" s="136">
        <f t="shared" si="6"/>
        <v>2.1249999999999996</v>
      </c>
      <c r="G14" s="127">
        <f t="shared" si="3"/>
        <v>3.0357142857142856</v>
      </c>
      <c r="H14" s="138">
        <f t="shared" si="7"/>
        <v>3.9464285714285716</v>
      </c>
      <c r="I14" s="136">
        <f t="shared" si="1"/>
        <v>0.69308545335942584</v>
      </c>
      <c r="J14" s="137">
        <f t="shared" si="1"/>
        <v>0.99012207622775139</v>
      </c>
      <c r="K14" s="138">
        <f t="shared" si="1"/>
        <v>1.2871586990960768</v>
      </c>
      <c r="L14" s="136">
        <f>I14*$S$18</f>
        <v>0.53945007266455935</v>
      </c>
      <c r="M14" s="137">
        <f t="shared" si="8"/>
        <v>0.77064296094937068</v>
      </c>
      <c r="N14" s="138">
        <f t="shared" si="8"/>
        <v>1.0018358492341819</v>
      </c>
      <c r="R14" s="105"/>
      <c r="T14" s="107"/>
      <c r="V14" s="107"/>
      <c r="W14" s="128"/>
    </row>
    <row r="15" spans="2:34" ht="16.95" customHeight="1" x14ac:dyDescent="0.2">
      <c r="B15" s="124">
        <v>2010</v>
      </c>
      <c r="C15" s="140">
        <f t="shared" si="4"/>
        <v>63.98</v>
      </c>
      <c r="D15" s="141">
        <f>S4</f>
        <v>91.4</v>
      </c>
      <c r="E15" s="142">
        <f t="shared" si="5"/>
        <v>118.82000000000001</v>
      </c>
      <c r="F15" s="140">
        <f t="shared" si="6"/>
        <v>1.5233333333333334</v>
      </c>
      <c r="G15" s="141">
        <f t="shared" si="3"/>
        <v>2.1761904761904765</v>
      </c>
      <c r="H15" s="142">
        <f t="shared" si="7"/>
        <v>2.8290476190476195</v>
      </c>
      <c r="I15" s="140">
        <f t="shared" si="1"/>
        <v>0.4968471406827572</v>
      </c>
      <c r="J15" s="141">
        <f t="shared" si="1"/>
        <v>0.70978162954679602</v>
      </c>
      <c r="K15" s="142">
        <f t="shared" si="1"/>
        <v>0.9227161184108349</v>
      </c>
      <c r="L15" s="140">
        <f>I15*$S$18</f>
        <v>0.38671165993365286</v>
      </c>
      <c r="M15" s="141">
        <f t="shared" si="8"/>
        <v>0.55244522847664701</v>
      </c>
      <c r="N15" s="142">
        <f t="shared" si="8"/>
        <v>0.71817879701964116</v>
      </c>
      <c r="Q15" s="100" t="s">
        <v>576</v>
      </c>
      <c r="R15" s="101"/>
      <c r="S15" s="101"/>
      <c r="T15" s="139" t="s">
        <v>577</v>
      </c>
      <c r="U15" s="101"/>
      <c r="V15" s="101"/>
      <c r="W15" s="101"/>
      <c r="X15" s="101"/>
      <c r="Y15" s="101"/>
      <c r="Z15" s="101"/>
      <c r="AA15" s="101"/>
      <c r="AB15" s="101"/>
      <c r="AC15" s="102"/>
    </row>
    <row r="16" spans="2:34" ht="40.65" customHeight="1" x14ac:dyDescent="0.2">
      <c r="Q16" s="143"/>
      <c r="R16" s="105" t="s">
        <v>558</v>
      </c>
      <c r="S16" s="86">
        <v>0.75431847325941004</v>
      </c>
      <c r="T16" s="86">
        <f>1/S16</f>
        <v>1.3257000000000001</v>
      </c>
      <c r="W16" t="s">
        <v>89</v>
      </c>
      <c r="X16" s="144" t="s">
        <v>578</v>
      </c>
      <c r="Y16"/>
      <c r="AC16" s="109"/>
    </row>
    <row r="17" spans="2:29" ht="40.65" customHeight="1" x14ac:dyDescent="0.2">
      <c r="P17" s="145"/>
      <c r="Q17" s="112"/>
      <c r="R17" s="105" t="s">
        <v>561</v>
      </c>
      <c r="S17" s="86">
        <v>0.71839080459770122</v>
      </c>
      <c r="T17" s="86">
        <f>1/S17</f>
        <v>1.3919999999999999</v>
      </c>
      <c r="W17"/>
      <c r="X17" t="s">
        <v>579</v>
      </c>
      <c r="Y17"/>
      <c r="AC17" s="109"/>
    </row>
    <row r="18" spans="2:29" ht="19.5" customHeight="1" x14ac:dyDescent="0.2">
      <c r="C18" s="124" t="s">
        <v>580</v>
      </c>
      <c r="D18" s="633" t="s">
        <v>581</v>
      </c>
      <c r="E18" s="633"/>
      <c r="F18" s="633"/>
      <c r="G18" s="632" t="s">
        <v>582</v>
      </c>
      <c r="H18" s="632"/>
      <c r="I18" s="632"/>
      <c r="P18" s="145"/>
      <c r="Q18" s="112"/>
      <c r="R18" s="105" t="s">
        <v>567</v>
      </c>
      <c r="S18" s="86">
        <v>0.77833125778331258</v>
      </c>
      <c r="T18" s="86">
        <f>1/S18</f>
        <v>1.2847999999999999</v>
      </c>
      <c r="AC18" s="109"/>
    </row>
    <row r="19" spans="2:29" ht="19.5" customHeight="1" x14ac:dyDescent="0.2">
      <c r="B19" s="146" t="s">
        <v>550</v>
      </c>
      <c r="C19" s="146" t="s">
        <v>569</v>
      </c>
      <c r="D19" s="147" t="s">
        <v>65</v>
      </c>
      <c r="E19" s="148" t="s">
        <v>569</v>
      </c>
      <c r="F19" s="149" t="s">
        <v>66</v>
      </c>
      <c r="G19" s="147" t="s">
        <v>65</v>
      </c>
      <c r="H19" s="148" t="s">
        <v>569</v>
      </c>
      <c r="I19" s="149" t="s">
        <v>66</v>
      </c>
      <c r="P19" s="145"/>
      <c r="Q19" s="112"/>
      <c r="R19" s="105" t="s">
        <v>571</v>
      </c>
      <c r="S19" s="86">
        <f>1/T19</f>
        <v>0.76138267093040968</v>
      </c>
      <c r="T19" s="86">
        <v>1.3133999999999999</v>
      </c>
      <c r="AC19" s="109"/>
    </row>
    <row r="20" spans="2:29" ht="19.5" customHeight="1" x14ac:dyDescent="0.2">
      <c r="B20" s="150">
        <v>2017</v>
      </c>
      <c r="C20" s="153">
        <f t="shared" ref="C20:C27" si="9">D8</f>
        <v>64.900000000000006</v>
      </c>
      <c r="D20" s="153">
        <f t="shared" ref="D20:F27" si="10">F8</f>
        <v>1.0816666666666666</v>
      </c>
      <c r="E20" s="153">
        <f t="shared" si="10"/>
        <v>1.5452380952380953</v>
      </c>
      <c r="F20" s="153">
        <f t="shared" si="10"/>
        <v>2.008809523809524</v>
      </c>
      <c r="G20" s="153">
        <f t="shared" ref="G20:I27" si="11">L8</f>
        <v>0.27459066443866592</v>
      </c>
      <c r="H20" s="153">
        <f t="shared" si="11"/>
        <v>0.39227237776952278</v>
      </c>
      <c r="I20" s="153">
        <f t="shared" si="11"/>
        <v>0.5099540911003797</v>
      </c>
      <c r="Q20" s="112"/>
      <c r="R20" s="105" t="s">
        <v>572</v>
      </c>
      <c r="S20" s="86">
        <v>0.75271999999999994</v>
      </c>
      <c r="T20" s="86">
        <v>1.3285</v>
      </c>
      <c r="AC20" s="109"/>
    </row>
    <row r="21" spans="2:29" ht="19.5" customHeight="1" x14ac:dyDescent="0.25">
      <c r="B21" s="184">
        <v>2016</v>
      </c>
      <c r="C21" s="163">
        <f t="shared" si="9"/>
        <v>52.1</v>
      </c>
      <c r="D21" s="163">
        <f t="shared" si="10"/>
        <v>0.86833333333333329</v>
      </c>
      <c r="E21" s="163">
        <f t="shared" si="10"/>
        <v>1.2404761904761905</v>
      </c>
      <c r="F21" s="163">
        <f t="shared" si="10"/>
        <v>1.6126190476190476</v>
      </c>
      <c r="G21" s="163">
        <f t="shared" si="11"/>
        <v>0.22043410812410627</v>
      </c>
      <c r="H21" s="163">
        <f t="shared" si="11"/>
        <v>0.31490586874872323</v>
      </c>
      <c r="I21" s="163">
        <f t="shared" si="11"/>
        <v>0.40937762937334016</v>
      </c>
      <c r="Q21" s="159"/>
      <c r="R21" s="105" t="s">
        <v>575</v>
      </c>
      <c r="S21" s="86">
        <v>0.90130689499774674</v>
      </c>
      <c r="T21" s="86">
        <v>1.1094999999999999</v>
      </c>
      <c r="AC21" s="109"/>
    </row>
    <row r="22" spans="2:29" ht="26.25" customHeight="1" x14ac:dyDescent="0.25">
      <c r="B22" s="150">
        <v>2015</v>
      </c>
      <c r="C22" s="153">
        <f t="shared" si="9"/>
        <v>66.7</v>
      </c>
      <c r="D22" s="153">
        <f t="shared" si="10"/>
        <v>1.1116666666666666</v>
      </c>
      <c r="E22" s="153">
        <f t="shared" si="10"/>
        <v>1.5880952380952382</v>
      </c>
      <c r="F22" s="153">
        <f t="shared" si="10"/>
        <v>2.0645238095238096</v>
      </c>
      <c r="G22" s="153">
        <f t="shared" si="11"/>
        <v>0.28220643017040092</v>
      </c>
      <c r="H22" s="153">
        <f t="shared" si="11"/>
        <v>0.40315204310057273</v>
      </c>
      <c r="I22" s="153">
        <f t="shared" si="11"/>
        <v>0.52409765603074465</v>
      </c>
      <c r="Q22" s="159"/>
      <c r="R22" s="105" t="s">
        <v>606</v>
      </c>
      <c r="S22" s="86">
        <v>0.90342397687234621</v>
      </c>
      <c r="T22" s="86">
        <v>1.1069</v>
      </c>
      <c r="AC22" s="109"/>
    </row>
    <row r="23" spans="2:29" ht="19.5" customHeight="1" x14ac:dyDescent="0.25">
      <c r="B23" s="152">
        <v>2014</v>
      </c>
      <c r="C23" s="154">
        <f t="shared" si="9"/>
        <v>118.4</v>
      </c>
      <c r="D23" s="154">
        <f t="shared" si="10"/>
        <v>1.9733333333333334</v>
      </c>
      <c r="E23" s="154">
        <f t="shared" si="10"/>
        <v>2.8190476190476192</v>
      </c>
      <c r="F23" s="154">
        <f t="shared" si="10"/>
        <v>3.6647619047619053</v>
      </c>
      <c r="G23" s="154">
        <f t="shared" si="11"/>
        <v>0.50094814590967718</v>
      </c>
      <c r="H23" s="154">
        <f t="shared" si="11"/>
        <v>0.71564020844239595</v>
      </c>
      <c r="I23" s="154">
        <f t="shared" si="11"/>
        <v>0.93033227097511484</v>
      </c>
      <c r="Q23" s="159"/>
      <c r="R23" s="105" t="s">
        <v>607</v>
      </c>
      <c r="AC23" s="109"/>
    </row>
    <row r="24" spans="2:29" ht="19.5" customHeight="1" x14ac:dyDescent="0.25">
      <c r="B24" s="150">
        <v>2013</v>
      </c>
      <c r="C24" s="153">
        <f t="shared" si="9"/>
        <v>124.6</v>
      </c>
      <c r="D24" s="153">
        <f t="shared" si="10"/>
        <v>2.0766666666666662</v>
      </c>
      <c r="E24" s="153">
        <f t="shared" si="10"/>
        <v>2.9666666666666663</v>
      </c>
      <c r="F24" s="153">
        <f t="shared" si="10"/>
        <v>3.8566666666666665</v>
      </c>
      <c r="G24" s="153">
        <f t="shared" si="11"/>
        <v>0.52718022787454188</v>
      </c>
      <c r="H24" s="153">
        <f t="shared" si="11"/>
        <v>0.75311461124934564</v>
      </c>
      <c r="I24" s="153">
        <f t="shared" si="11"/>
        <v>0.97904899462414952</v>
      </c>
      <c r="J24"/>
      <c r="K24"/>
      <c r="L24"/>
      <c r="M24"/>
      <c r="Q24" s="159"/>
      <c r="R24" s="105" t="s">
        <v>608</v>
      </c>
      <c r="AC24" s="109"/>
    </row>
    <row r="25" spans="2:29" ht="19.5" customHeight="1" thickBot="1" x14ac:dyDescent="0.3">
      <c r="B25" s="152">
        <v>2012</v>
      </c>
      <c r="C25" s="154">
        <f t="shared" si="9"/>
        <v>129.6</v>
      </c>
      <c r="D25" s="154">
        <f t="shared" si="10"/>
        <v>2.1599999999999997</v>
      </c>
      <c r="E25" s="154">
        <f t="shared" si="10"/>
        <v>3.0857142857142854</v>
      </c>
      <c r="F25" s="154">
        <f t="shared" si="10"/>
        <v>4.0114285714285716</v>
      </c>
      <c r="G25" s="154">
        <f t="shared" si="11"/>
        <v>0.54833513268491685</v>
      </c>
      <c r="H25" s="154">
        <f t="shared" si="11"/>
        <v>0.78333590383559548</v>
      </c>
      <c r="I25" s="154">
        <f t="shared" si="11"/>
        <v>1.0183366749862743</v>
      </c>
      <c r="J25"/>
      <c r="K25"/>
      <c r="L25"/>
      <c r="M25"/>
      <c r="Q25" s="151"/>
      <c r="R25" s="130"/>
      <c r="S25" s="131"/>
      <c r="T25" s="131"/>
      <c r="U25" s="131"/>
      <c r="V25" s="131"/>
      <c r="W25" s="131"/>
      <c r="X25" s="131"/>
      <c r="Y25" s="131"/>
      <c r="Z25" s="131"/>
      <c r="AA25" s="131"/>
      <c r="AB25" s="131"/>
      <c r="AC25" s="134"/>
    </row>
    <row r="26" spans="2:29" ht="19.5" customHeight="1" x14ac:dyDescent="0.25">
      <c r="B26" s="150">
        <v>2011</v>
      </c>
      <c r="C26" s="155">
        <f t="shared" si="9"/>
        <v>127.5</v>
      </c>
      <c r="D26" s="155">
        <f t="shared" si="10"/>
        <v>2.1249999999999996</v>
      </c>
      <c r="E26" s="155">
        <f t="shared" si="10"/>
        <v>3.0357142857142856</v>
      </c>
      <c r="F26" s="155">
        <f t="shared" si="10"/>
        <v>3.9464285714285716</v>
      </c>
      <c r="G26" s="155">
        <f t="shared" si="11"/>
        <v>0.53945007266455935</v>
      </c>
      <c r="H26" s="155">
        <f t="shared" si="11"/>
        <v>0.77064296094937068</v>
      </c>
      <c r="I26" s="155">
        <f t="shared" si="11"/>
        <v>1.0018358492341819</v>
      </c>
      <c r="J26"/>
      <c r="K26"/>
      <c r="L26"/>
      <c r="M26"/>
      <c r="Q26" s="158"/>
      <c r="R26" s="105"/>
    </row>
    <row r="27" spans="2:29" ht="19.5" customHeight="1" thickBot="1" x14ac:dyDescent="0.3">
      <c r="B27" s="156">
        <v>2010</v>
      </c>
      <c r="C27" s="157">
        <f t="shared" si="9"/>
        <v>91.4</v>
      </c>
      <c r="D27" s="157">
        <f t="shared" si="10"/>
        <v>1.5233333333333334</v>
      </c>
      <c r="E27" s="157">
        <f t="shared" si="10"/>
        <v>2.1761904761904765</v>
      </c>
      <c r="F27" s="157">
        <f t="shared" si="10"/>
        <v>2.8290476190476195</v>
      </c>
      <c r="G27" s="157">
        <f t="shared" si="11"/>
        <v>0.38671165993365286</v>
      </c>
      <c r="H27" s="157">
        <f t="shared" si="11"/>
        <v>0.55244522847664701</v>
      </c>
      <c r="I27" s="157">
        <f t="shared" si="11"/>
        <v>0.71817879701964116</v>
      </c>
      <c r="J27"/>
      <c r="K27"/>
      <c r="L27"/>
      <c r="M27"/>
      <c r="Q27" s="158"/>
      <c r="R27" s="105"/>
    </row>
    <row r="28" spans="2:29" ht="18" customHeight="1" x14ac:dyDescent="0.25">
      <c r="J28"/>
      <c r="K28"/>
      <c r="L28"/>
      <c r="M28"/>
      <c r="Q28" s="164"/>
      <c r="R28" s="165"/>
      <c r="S28" s="166"/>
      <c r="T28" s="166"/>
      <c r="U28" s="165"/>
      <c r="V28" s="167"/>
    </row>
    <row r="29" spans="2:29" ht="18" customHeight="1" x14ac:dyDescent="0.25">
      <c r="B29"/>
      <c r="C29"/>
      <c r="D29"/>
      <c r="E29"/>
      <c r="F29"/>
      <c r="J29"/>
      <c r="K29"/>
      <c r="L29"/>
      <c r="M29"/>
      <c r="Q29" s="168" t="s">
        <v>583</v>
      </c>
      <c r="R29" s="169"/>
      <c r="S29" s="170"/>
      <c r="T29" s="170"/>
      <c r="U29" s="169"/>
      <c r="V29" s="171"/>
    </row>
    <row r="30" spans="2:29" ht="18" customHeight="1" x14ac:dyDescent="0.25">
      <c r="B30"/>
      <c r="C30"/>
      <c r="D30"/>
      <c r="E30"/>
      <c r="F30"/>
      <c r="J30"/>
      <c r="K30"/>
      <c r="L30"/>
      <c r="M30"/>
      <c r="Q30" s="172"/>
      <c r="R30" s="173" t="s">
        <v>585</v>
      </c>
      <c r="S30" s="170" t="s">
        <v>586</v>
      </c>
      <c r="T30" s="170"/>
      <c r="U30" s="169"/>
      <c r="V30" s="171"/>
    </row>
    <row r="31" spans="2:29" ht="18" customHeight="1" x14ac:dyDescent="0.25">
      <c r="B31"/>
      <c r="C31"/>
      <c r="D31"/>
      <c r="E31"/>
      <c r="F31"/>
      <c r="J31"/>
      <c r="K31"/>
      <c r="L31"/>
      <c r="M31"/>
      <c r="Q31" s="172"/>
      <c r="R31" s="170"/>
      <c r="S31" s="170" t="s">
        <v>584</v>
      </c>
      <c r="T31" s="170"/>
      <c r="U31" s="169"/>
      <c r="V31" s="171"/>
    </row>
    <row r="32" spans="2:29" ht="18" customHeight="1" x14ac:dyDescent="0.25">
      <c r="B32"/>
      <c r="C32"/>
      <c r="D32"/>
      <c r="E32"/>
      <c r="F32"/>
      <c r="J32"/>
      <c r="K32"/>
      <c r="L32"/>
      <c r="M32"/>
      <c r="Q32" s="172"/>
      <c r="R32" s="170"/>
      <c r="S32" s="170" t="s">
        <v>587</v>
      </c>
      <c r="T32" s="170"/>
      <c r="U32" s="169"/>
      <c r="V32" s="171"/>
    </row>
    <row r="33" spans="2:22" ht="18" customHeight="1" x14ac:dyDescent="0.25">
      <c r="B33"/>
      <c r="C33"/>
      <c r="D33"/>
      <c r="E33"/>
      <c r="F33"/>
      <c r="J33"/>
      <c r="K33"/>
      <c r="L33"/>
      <c r="M33"/>
      <c r="Q33" s="172"/>
      <c r="R33" s="173" t="s">
        <v>588</v>
      </c>
      <c r="S33" s="170" t="s">
        <v>589</v>
      </c>
      <c r="T33" s="169"/>
      <c r="U33" s="169"/>
      <c r="V33" s="171"/>
    </row>
    <row r="34" spans="2:22" ht="18" customHeight="1" x14ac:dyDescent="0.25">
      <c r="J34"/>
      <c r="K34"/>
      <c r="L34"/>
      <c r="Q34" s="172"/>
      <c r="R34" s="173"/>
      <c r="S34" s="170" t="s">
        <v>590</v>
      </c>
      <c r="T34" s="169"/>
      <c r="U34" s="169"/>
      <c r="V34" s="171"/>
    </row>
    <row r="35" spans="2:22" ht="18" customHeight="1" x14ac:dyDescent="0.25">
      <c r="M35" s="98"/>
      <c r="Q35" s="172"/>
      <c r="R35" s="173"/>
      <c r="S35" s="174">
        <v>7.8</v>
      </c>
      <c r="T35" s="170" t="s">
        <v>591</v>
      </c>
      <c r="U35" s="169"/>
      <c r="V35" s="171"/>
    </row>
    <row r="36" spans="2:22" ht="18" customHeight="1" x14ac:dyDescent="0.25">
      <c r="I36"/>
      <c r="M36" s="98"/>
      <c r="Q36" s="172"/>
      <c r="R36" s="173" t="s">
        <v>592</v>
      </c>
      <c r="S36" s="174">
        <v>42</v>
      </c>
      <c r="T36" s="170" t="s">
        <v>593</v>
      </c>
      <c r="U36" s="169"/>
      <c r="V36" s="171"/>
    </row>
    <row r="37" spans="2:22" ht="18" customHeight="1" x14ac:dyDescent="0.25">
      <c r="M37" s="98"/>
      <c r="Q37" s="172"/>
      <c r="R37" s="173"/>
      <c r="S37" s="174">
        <v>159</v>
      </c>
      <c r="T37" s="170" t="s">
        <v>594</v>
      </c>
      <c r="U37" s="169"/>
      <c r="V37" s="171"/>
    </row>
    <row r="38" spans="2:22" ht="18" customHeight="1" x14ac:dyDescent="0.25">
      <c r="M38" s="98"/>
      <c r="P38" s="98"/>
      <c r="Q38" s="172"/>
      <c r="R38" s="173"/>
      <c r="S38" s="174">
        <v>0.128</v>
      </c>
      <c r="T38" s="170" t="s">
        <v>595</v>
      </c>
      <c r="U38" s="169"/>
      <c r="V38" s="171"/>
    </row>
    <row r="39" spans="2:22" ht="18" customHeight="1" x14ac:dyDescent="0.25">
      <c r="M39"/>
      <c r="N39"/>
      <c r="O39"/>
      <c r="Q39" s="172"/>
      <c r="R39" s="173" t="s">
        <v>596</v>
      </c>
      <c r="S39" s="174">
        <v>3.7854000000000001</v>
      </c>
      <c r="T39" s="170" t="s">
        <v>597</v>
      </c>
      <c r="U39" s="169"/>
      <c r="V39" s="171"/>
    </row>
    <row r="40" spans="2:22" ht="18" customHeight="1" x14ac:dyDescent="0.25">
      <c r="M40"/>
      <c r="N40"/>
      <c r="O40"/>
      <c r="Q40" s="172"/>
      <c r="R40" s="173"/>
      <c r="S40" s="174">
        <v>3.0659999999999998</v>
      </c>
      <c r="T40" s="170" t="s">
        <v>598</v>
      </c>
      <c r="U40" s="169"/>
      <c r="V40" s="171"/>
    </row>
    <row r="41" spans="2:22" ht="18" customHeight="1" x14ac:dyDescent="0.25">
      <c r="Q41" s="172"/>
      <c r="R41" s="174">
        <v>6.7460000000000004</v>
      </c>
      <c r="S41" s="170" t="s">
        <v>599</v>
      </c>
      <c r="T41" s="169"/>
      <c r="U41" s="169"/>
      <c r="V41" s="171"/>
    </row>
    <row r="42" spans="2:22" ht="18" customHeight="1" x14ac:dyDescent="0.2">
      <c r="Q42" s="172"/>
      <c r="R42" s="169"/>
      <c r="S42" s="169"/>
      <c r="T42" s="169"/>
      <c r="U42" s="169"/>
      <c r="V42" s="171"/>
    </row>
    <row r="43" spans="2:22" ht="18" customHeight="1" x14ac:dyDescent="0.25">
      <c r="P43"/>
      <c r="Q43" s="175"/>
      <c r="R43" s="173" t="s">
        <v>600</v>
      </c>
      <c r="S43" s="174">
        <v>0.81</v>
      </c>
      <c r="T43" s="170" t="s">
        <v>601</v>
      </c>
      <c r="U43" s="169"/>
      <c r="V43" s="171"/>
    </row>
    <row r="44" spans="2:22" ht="18" customHeight="1" x14ac:dyDescent="0.25">
      <c r="P44"/>
      <c r="Q44" s="176"/>
      <c r="R44" s="173" t="s">
        <v>602</v>
      </c>
      <c r="S44" s="174">
        <v>0.26500000000000001</v>
      </c>
      <c r="T44" s="170" t="s">
        <v>603</v>
      </c>
      <c r="U44" s="169"/>
      <c r="V44" s="171"/>
    </row>
    <row r="45" spans="2:22" ht="18" customHeight="1" x14ac:dyDescent="0.25">
      <c r="P45"/>
      <c r="Q45" s="176"/>
      <c r="R45" s="173" t="s">
        <v>604</v>
      </c>
      <c r="S45" s="174">
        <v>2.2000000000000002</v>
      </c>
      <c r="T45" s="170" t="s">
        <v>599</v>
      </c>
      <c r="U45" s="169"/>
      <c r="V45" s="171"/>
    </row>
    <row r="46" spans="2:22" x14ac:dyDescent="0.25">
      <c r="P46"/>
      <c r="Q46" s="176"/>
      <c r="R46" s="173" t="s">
        <v>605</v>
      </c>
      <c r="S46" s="174">
        <v>0.45400000000000001</v>
      </c>
      <c r="T46" s="170" t="s">
        <v>598</v>
      </c>
      <c r="U46" s="169"/>
      <c r="V46" s="171"/>
    </row>
    <row r="47" spans="2:22" ht="13.8" thickBot="1" x14ac:dyDescent="0.3">
      <c r="Q47" s="177"/>
      <c r="R47" s="178"/>
      <c r="S47" s="179"/>
      <c r="T47" s="180"/>
      <c r="U47" s="181"/>
      <c r="V47" s="182"/>
    </row>
    <row r="48" spans="2:22" x14ac:dyDescent="0.2">
      <c r="Q48"/>
    </row>
    <row r="49" spans="17:20" x14ac:dyDescent="0.2">
      <c r="Q49"/>
    </row>
    <row r="50" spans="17:20" x14ac:dyDescent="0.2">
      <c r="Q50"/>
      <c r="R50"/>
      <c r="S50"/>
    </row>
    <row r="51" spans="17:20" x14ac:dyDescent="0.2">
      <c r="Q51"/>
      <c r="R51"/>
      <c r="S51"/>
    </row>
    <row r="52" spans="17:20" x14ac:dyDescent="0.2">
      <c r="Q52"/>
      <c r="R52"/>
      <c r="S52"/>
      <c r="T52"/>
    </row>
    <row r="53" spans="17:20" x14ac:dyDescent="0.2">
      <c r="Q53"/>
      <c r="R53"/>
      <c r="S53"/>
      <c r="T53"/>
    </row>
    <row r="54" spans="17:20" x14ac:dyDescent="0.2">
      <c r="Q54"/>
      <c r="R54"/>
      <c r="S54"/>
      <c r="T54"/>
    </row>
    <row r="55" spans="17:20" x14ac:dyDescent="0.2">
      <c r="Q55"/>
      <c r="R55"/>
      <c r="S55"/>
      <c r="T55"/>
    </row>
    <row r="56" spans="17:20" x14ac:dyDescent="0.2">
      <c r="Q56"/>
      <c r="R56"/>
      <c r="S56"/>
      <c r="T56"/>
    </row>
    <row r="57" spans="17:20" x14ac:dyDescent="0.2">
      <c r="Q57"/>
      <c r="R57"/>
      <c r="S57"/>
      <c r="T57"/>
    </row>
    <row r="58" spans="17:20" x14ac:dyDescent="0.2">
      <c r="Q58"/>
      <c r="R58"/>
      <c r="S58"/>
      <c r="T58"/>
    </row>
    <row r="59" spans="17:20" x14ac:dyDescent="0.2">
      <c r="Q59"/>
      <c r="R59"/>
      <c r="S59"/>
      <c r="T59"/>
    </row>
    <row r="60" spans="17:20" x14ac:dyDescent="0.2">
      <c r="Q60"/>
      <c r="R60"/>
      <c r="S60"/>
      <c r="T60"/>
    </row>
    <row r="61" spans="17:20" x14ac:dyDescent="0.2">
      <c r="Q61"/>
      <c r="R61"/>
      <c r="S61"/>
      <c r="T61"/>
    </row>
    <row r="62" spans="17:20" x14ac:dyDescent="0.2">
      <c r="Q62"/>
      <c r="R62"/>
      <c r="S62"/>
      <c r="T62"/>
    </row>
    <row r="63" spans="17:20" x14ac:dyDescent="0.2">
      <c r="R63"/>
      <c r="S63"/>
      <c r="T63"/>
    </row>
    <row r="64" spans="17:20" x14ac:dyDescent="0.2">
      <c r="R64"/>
      <c r="S64"/>
      <c r="T64"/>
    </row>
  </sheetData>
  <mergeCells count="6">
    <mergeCell ref="C6:E6"/>
    <mergeCell ref="F6:H6"/>
    <mergeCell ref="I6:K6"/>
    <mergeCell ref="L6:N6"/>
    <mergeCell ref="D18:F18"/>
    <mergeCell ref="G18:I18"/>
  </mergeCells>
  <hyperlinks>
    <hyperlink ref="X16" r:id="rId1" xr:uid="{00000000-0004-0000-0A00-000000000000}"/>
    <hyperlink ref="W5" r:id="rId2" tooltip="http://www.iata.org/whatwedo/Documents/economics/Industry-Outlook-Dec2012.pdf" xr:uid="{00000000-0004-0000-0A00-000001000000}"/>
    <hyperlink ref="W8" r:id="rId3" xr:uid="{00000000-0004-0000-0A00-000002000000}"/>
    <hyperlink ref="W9" r:id="rId4" xr:uid="{00000000-0004-0000-0A00-000003000000}"/>
    <hyperlink ref="W10" r:id="rId5" xr:uid="{00000000-0004-0000-0A00-000004000000}"/>
  </hyperlinks>
  <pageMargins left="0.7" right="0.7" top="0.75" bottom="0.75" header="0.3" footer="0.3"/>
  <pageSetup paperSize="9" orientation="portrait"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zoomScale="70" zoomScaleNormal="70" workbookViewId="0">
      <selection activeCell="J35" sqref="J35"/>
    </sheetView>
  </sheetViews>
  <sheetFormatPr defaultRowHeight="10.199999999999999" x14ac:dyDescent="0.2"/>
  <cols>
    <col min="1" max="1" width="29" bestFit="1" customWidth="1"/>
    <col min="2" max="2" width="20.28515625" bestFit="1" customWidth="1"/>
    <col min="3" max="3" width="19.28515625" bestFit="1" customWidth="1"/>
    <col min="4" max="4" width="11.85546875" bestFit="1" customWidth="1"/>
    <col min="5" max="5" width="11.28515625" bestFit="1" customWidth="1"/>
    <col min="10" max="12" width="24.42578125" customWidth="1"/>
  </cols>
  <sheetData>
    <row r="1" spans="1:12" s="5" customFormat="1" x14ac:dyDescent="0.2">
      <c r="A1" s="6" t="s">
        <v>48</v>
      </c>
    </row>
    <row r="2" spans="1:12" s="5" customFormat="1" x14ac:dyDescent="0.2">
      <c r="A2" s="6" t="s">
        <v>49</v>
      </c>
      <c r="B2" s="28">
        <v>2.5</v>
      </c>
      <c r="C2" s="10" t="s">
        <v>90</v>
      </c>
      <c r="E2" s="27" t="e">
        <f>E29*dollar</f>
        <v>#REF!</v>
      </c>
    </row>
    <row r="3" spans="1:12" s="5" customFormat="1" x14ac:dyDescent="0.2">
      <c r="A3" s="1"/>
      <c r="B3" s="1"/>
    </row>
    <row r="4" spans="1:12" s="5" customFormat="1" x14ac:dyDescent="0.2">
      <c r="A4" s="6" t="s">
        <v>53</v>
      </c>
      <c r="B4" s="28">
        <v>2.2999999999999998</v>
      </c>
      <c r="C4" s="10" t="s">
        <v>90</v>
      </c>
      <c r="E4" s="27" t="e">
        <f>B4*index/index2006</f>
        <v>#REF!</v>
      </c>
    </row>
    <row r="5" spans="1:12" s="5" customFormat="1" x14ac:dyDescent="0.2">
      <c r="A5" s="1"/>
      <c r="B5" s="1"/>
    </row>
    <row r="6" spans="1:12" s="5" customFormat="1" ht="10.8" thickBot="1" x14ac:dyDescent="0.25">
      <c r="A6" s="6" t="s">
        <v>58</v>
      </c>
      <c r="B6" s="1"/>
    </row>
    <row r="7" spans="1:12" s="5" customFormat="1" ht="26.4" x14ac:dyDescent="0.2">
      <c r="A7" s="16" t="s">
        <v>2</v>
      </c>
      <c r="B7" s="17" t="s">
        <v>3</v>
      </c>
      <c r="C7" s="17" t="s">
        <v>5</v>
      </c>
      <c r="J7" s="66" t="s">
        <v>2</v>
      </c>
      <c r="K7" s="70" t="s">
        <v>3</v>
      </c>
      <c r="L7" s="70" t="s">
        <v>206</v>
      </c>
    </row>
    <row r="8" spans="1:12" s="5" customFormat="1" ht="13.8" thickBot="1" x14ac:dyDescent="0.25">
      <c r="A8" s="18"/>
      <c r="B8" s="19" t="s">
        <v>4</v>
      </c>
      <c r="C8" s="19" t="s">
        <v>4</v>
      </c>
      <c r="J8" s="67"/>
      <c r="K8" s="59" t="s">
        <v>4</v>
      </c>
      <c r="L8" s="59" t="s">
        <v>4</v>
      </c>
    </row>
    <row r="9" spans="1:12" s="5" customFormat="1" ht="13.2" x14ac:dyDescent="0.2">
      <c r="A9" s="21" t="s">
        <v>6</v>
      </c>
      <c r="B9" s="29">
        <v>1.8</v>
      </c>
      <c r="C9" s="29">
        <v>1.99</v>
      </c>
      <c r="E9" s="30">
        <f t="shared" ref="E9:F11" si="0">B9*factor98</f>
        <v>2.6180463576158939</v>
      </c>
      <c r="F9" s="30">
        <f t="shared" si="0"/>
        <v>2.8943956953642385</v>
      </c>
      <c r="J9" s="60" t="s">
        <v>6</v>
      </c>
      <c r="K9" s="61" t="s">
        <v>207</v>
      </c>
      <c r="L9" s="61" t="s">
        <v>208</v>
      </c>
    </row>
    <row r="10" spans="1:12" s="5" customFormat="1" ht="13.2" x14ac:dyDescent="0.2">
      <c r="A10" s="21" t="s">
        <v>7</v>
      </c>
      <c r="B10" s="29">
        <v>0.48</v>
      </c>
      <c r="C10" s="29">
        <v>1.98</v>
      </c>
      <c r="E10" s="30">
        <f t="shared" si="0"/>
        <v>0.69814569536423832</v>
      </c>
      <c r="F10" s="30">
        <f t="shared" si="0"/>
        <v>2.8798509933774832</v>
      </c>
      <c r="J10" s="62" t="s">
        <v>7</v>
      </c>
      <c r="K10" s="63" t="s">
        <v>209</v>
      </c>
      <c r="L10" s="63" t="s">
        <v>210</v>
      </c>
    </row>
    <row r="11" spans="1:12" s="5" customFormat="1" ht="13.2" x14ac:dyDescent="0.2">
      <c r="A11" s="21" t="s">
        <v>8</v>
      </c>
      <c r="B11" s="29">
        <v>0.61</v>
      </c>
      <c r="C11" s="29">
        <v>2.12</v>
      </c>
      <c r="E11" s="30">
        <f t="shared" si="0"/>
        <v>0.88722682119205298</v>
      </c>
      <c r="F11" s="30">
        <f t="shared" si="0"/>
        <v>3.0834768211920531</v>
      </c>
      <c r="J11" s="60" t="s">
        <v>8</v>
      </c>
      <c r="K11" s="61" t="s">
        <v>211</v>
      </c>
      <c r="L11" s="61" t="s">
        <v>212</v>
      </c>
    </row>
    <row r="12" spans="1:12" s="5" customFormat="1" ht="13.2" x14ac:dyDescent="0.2">
      <c r="A12" s="21" t="s">
        <v>25</v>
      </c>
      <c r="B12" s="29" t="s">
        <v>15</v>
      </c>
      <c r="C12" s="29">
        <v>0.76</v>
      </c>
      <c r="E12" s="69" t="s">
        <v>15</v>
      </c>
      <c r="F12" s="30">
        <f t="shared" ref="F12:F27" si="1">C12*factor98</f>
        <v>1.1053973509933774</v>
      </c>
      <c r="J12" s="62" t="s">
        <v>213</v>
      </c>
      <c r="K12" s="63" t="s">
        <v>214</v>
      </c>
      <c r="L12" s="63" t="s">
        <v>215</v>
      </c>
    </row>
    <row r="13" spans="1:12" s="5" customFormat="1" ht="13.2" x14ac:dyDescent="0.2">
      <c r="A13" s="21" t="s">
        <v>9</v>
      </c>
      <c r="B13" s="29">
        <v>1.06</v>
      </c>
      <c r="C13" s="29">
        <v>1.82</v>
      </c>
      <c r="E13" s="30">
        <f>B13*factor98</f>
        <v>1.5417384105960266</v>
      </c>
      <c r="F13" s="30">
        <f t="shared" si="1"/>
        <v>2.647135761589404</v>
      </c>
      <c r="J13" s="60" t="s">
        <v>9</v>
      </c>
      <c r="K13" s="61" t="s">
        <v>216</v>
      </c>
      <c r="L13" s="61" t="s">
        <v>217</v>
      </c>
    </row>
    <row r="14" spans="1:12" s="5" customFormat="1" ht="13.2" x14ac:dyDescent="0.2">
      <c r="A14" s="21" t="s">
        <v>10</v>
      </c>
      <c r="B14" s="29">
        <v>0.73</v>
      </c>
      <c r="C14" s="29">
        <v>1.76</v>
      </c>
      <c r="E14" s="30">
        <f>B14*factor98</f>
        <v>1.0617632450331125</v>
      </c>
      <c r="F14" s="30">
        <f t="shared" si="1"/>
        <v>2.5598675496688741</v>
      </c>
      <c r="J14" s="62" t="s">
        <v>10</v>
      </c>
      <c r="K14" s="63" t="s">
        <v>218</v>
      </c>
      <c r="L14" s="63" t="s">
        <v>219</v>
      </c>
    </row>
    <row r="15" spans="1:12" s="5" customFormat="1" ht="13.2" x14ac:dyDescent="0.2">
      <c r="A15" s="21" t="s">
        <v>11</v>
      </c>
      <c r="B15" s="29">
        <v>1.04</v>
      </c>
      <c r="C15" s="29">
        <v>1.92</v>
      </c>
      <c r="E15" s="30">
        <f>B15*factor98</f>
        <v>1.5126490066225167</v>
      </c>
      <c r="F15" s="30">
        <f t="shared" si="1"/>
        <v>2.7925827814569533</v>
      </c>
      <c r="J15" s="60" t="s">
        <v>11</v>
      </c>
      <c r="K15" s="61" t="s">
        <v>220</v>
      </c>
      <c r="L15" s="61" t="s">
        <v>221</v>
      </c>
    </row>
    <row r="16" spans="1:12" s="5" customFormat="1" ht="13.2" x14ac:dyDescent="0.2">
      <c r="A16" s="21" t="s">
        <v>12</v>
      </c>
      <c r="B16" s="29">
        <v>0.17</v>
      </c>
      <c r="C16" s="29">
        <v>1.18</v>
      </c>
      <c r="E16" s="30">
        <f>B16*factor98</f>
        <v>0.24725993377483446</v>
      </c>
      <c r="F16" s="30">
        <f t="shared" si="1"/>
        <v>1.7162748344370859</v>
      </c>
      <c r="J16" s="62" t="s">
        <v>222</v>
      </c>
      <c r="K16" s="63" t="s">
        <v>223</v>
      </c>
      <c r="L16" s="63" t="s">
        <v>224</v>
      </c>
    </row>
    <row r="17" spans="1:12" s="5" customFormat="1" ht="13.2" x14ac:dyDescent="0.2">
      <c r="A17" s="21" t="s">
        <v>24</v>
      </c>
      <c r="B17" s="29" t="s">
        <v>15</v>
      </c>
      <c r="C17" s="29">
        <v>0.88</v>
      </c>
      <c r="E17" s="69" t="s">
        <v>15</v>
      </c>
      <c r="F17" s="30">
        <f t="shared" si="1"/>
        <v>1.279933774834437</v>
      </c>
      <c r="J17" s="60" t="s">
        <v>225</v>
      </c>
      <c r="K17" s="61" t="s">
        <v>214</v>
      </c>
      <c r="L17" s="61" t="s">
        <v>226</v>
      </c>
    </row>
    <row r="18" spans="1:12" s="5" customFormat="1" ht="13.2" x14ac:dyDescent="0.2">
      <c r="A18" s="21" t="s">
        <v>13</v>
      </c>
      <c r="B18" s="29">
        <v>1.23</v>
      </c>
      <c r="C18" s="29">
        <v>1.93</v>
      </c>
      <c r="E18" s="30">
        <f>B18*factor98</f>
        <v>1.7889983443708608</v>
      </c>
      <c r="F18" s="30">
        <f t="shared" si="1"/>
        <v>2.8071274834437085</v>
      </c>
      <c r="J18" s="62" t="s">
        <v>13</v>
      </c>
      <c r="K18" s="63" t="s">
        <v>227</v>
      </c>
      <c r="L18" s="63" t="s">
        <v>228</v>
      </c>
    </row>
    <row r="19" spans="1:12" s="5" customFormat="1" ht="13.2" x14ac:dyDescent="0.2">
      <c r="A19" s="21" t="s">
        <v>14</v>
      </c>
      <c r="B19" s="29" t="s">
        <v>15</v>
      </c>
      <c r="C19" s="29">
        <v>1.79</v>
      </c>
      <c r="E19" s="69" t="s">
        <v>15</v>
      </c>
      <c r="F19" s="30">
        <f t="shared" si="1"/>
        <v>2.603501655629139</v>
      </c>
      <c r="J19" s="60" t="s">
        <v>14</v>
      </c>
      <c r="K19" s="61" t="s">
        <v>214</v>
      </c>
      <c r="L19" s="61" t="s">
        <v>229</v>
      </c>
    </row>
    <row r="20" spans="1:12" s="5" customFormat="1" ht="13.2" x14ac:dyDescent="0.2">
      <c r="A20" s="21" t="s">
        <v>16</v>
      </c>
      <c r="B20" s="29" t="s">
        <v>15</v>
      </c>
      <c r="C20" s="29">
        <v>3.13</v>
      </c>
      <c r="E20" s="69" t="s">
        <v>15</v>
      </c>
      <c r="F20" s="30">
        <f t="shared" si="1"/>
        <v>4.5524917218543042</v>
      </c>
      <c r="J20" s="62" t="s">
        <v>16</v>
      </c>
      <c r="K20" s="63" t="s">
        <v>214</v>
      </c>
      <c r="L20" s="63" t="s">
        <v>230</v>
      </c>
    </row>
    <row r="21" spans="1:12" s="5" customFormat="1" ht="13.2" x14ac:dyDescent="0.2">
      <c r="A21" s="21" t="s">
        <v>17</v>
      </c>
      <c r="B21" s="29">
        <v>0.15</v>
      </c>
      <c r="C21" s="29">
        <v>2.0099999999999998</v>
      </c>
      <c r="E21" s="30">
        <f>B21*factor98</f>
        <v>0.21817052980132448</v>
      </c>
      <c r="F21" s="30">
        <f t="shared" si="1"/>
        <v>2.9234850993377481</v>
      </c>
      <c r="J21" s="60" t="s">
        <v>17</v>
      </c>
      <c r="K21" s="61" t="s">
        <v>231</v>
      </c>
      <c r="L21" s="61" t="s">
        <v>232</v>
      </c>
    </row>
    <row r="22" spans="1:12" s="5" customFormat="1" ht="13.2" x14ac:dyDescent="0.2">
      <c r="A22" s="21" t="s">
        <v>18</v>
      </c>
      <c r="B22" s="29">
        <v>1.77</v>
      </c>
      <c r="C22" s="29">
        <v>2.2799999999999998</v>
      </c>
      <c r="E22" s="30">
        <f>B22*factor98</f>
        <v>2.5744122516556289</v>
      </c>
      <c r="F22" s="30">
        <f t="shared" si="1"/>
        <v>3.3161920529801319</v>
      </c>
      <c r="J22" s="62" t="s">
        <v>18</v>
      </c>
      <c r="K22" s="63" t="s">
        <v>233</v>
      </c>
      <c r="L22" s="63" t="s">
        <v>234</v>
      </c>
    </row>
    <row r="23" spans="1:12" s="5" customFormat="1" ht="13.2" x14ac:dyDescent="0.2">
      <c r="A23" s="21" t="s">
        <v>19</v>
      </c>
      <c r="B23" s="29">
        <v>0.04</v>
      </c>
      <c r="C23" s="29">
        <v>1.33</v>
      </c>
      <c r="E23" s="30">
        <f>B23*factor98</f>
        <v>5.8178807947019864E-2</v>
      </c>
      <c r="F23" s="30">
        <f t="shared" si="1"/>
        <v>1.9344453642384107</v>
      </c>
      <c r="J23" s="60" t="s">
        <v>19</v>
      </c>
      <c r="K23" s="61" t="s">
        <v>235</v>
      </c>
      <c r="L23" s="61" t="s">
        <v>236</v>
      </c>
    </row>
    <row r="24" spans="1:12" s="5" customFormat="1" ht="13.2" x14ac:dyDescent="0.2">
      <c r="A24" s="21" t="s">
        <v>20</v>
      </c>
      <c r="B24" s="29">
        <v>7.0000000000000007E-2</v>
      </c>
      <c r="C24" s="29">
        <v>1.43</v>
      </c>
      <c r="E24" s="30">
        <f>B24*factor98</f>
        <v>0.10181291390728478</v>
      </c>
      <c r="F24" s="30">
        <f t="shared" si="1"/>
        <v>2.07989238410596</v>
      </c>
      <c r="J24" s="62" t="s">
        <v>20</v>
      </c>
      <c r="K24" s="63" t="s">
        <v>237</v>
      </c>
      <c r="L24" s="63" t="s">
        <v>238</v>
      </c>
    </row>
    <row r="25" spans="1:12" s="5" customFormat="1" ht="13.2" x14ac:dyDescent="0.2">
      <c r="A25" s="21" t="s">
        <v>21</v>
      </c>
      <c r="B25" s="29">
        <v>1.76</v>
      </c>
      <c r="C25" s="29">
        <v>1.81</v>
      </c>
      <c r="E25" s="30">
        <f>B25*factor98</f>
        <v>2.5598675496688741</v>
      </c>
      <c r="F25" s="30">
        <f t="shared" si="1"/>
        <v>2.6325910596026492</v>
      </c>
      <c r="J25" s="60" t="s">
        <v>239</v>
      </c>
      <c r="K25" s="61" t="s">
        <v>219</v>
      </c>
      <c r="L25" s="61" t="s">
        <v>240</v>
      </c>
    </row>
    <row r="26" spans="1:12" s="5" customFormat="1" ht="13.2" x14ac:dyDescent="0.2">
      <c r="A26" s="21" t="s">
        <v>22</v>
      </c>
      <c r="B26" s="29" t="s">
        <v>15</v>
      </c>
      <c r="C26" s="29">
        <v>2.16</v>
      </c>
      <c r="E26" s="69" t="s">
        <v>15</v>
      </c>
      <c r="F26" s="30">
        <f t="shared" si="1"/>
        <v>3.1416556291390729</v>
      </c>
      <c r="J26" s="62" t="s">
        <v>241</v>
      </c>
      <c r="K26" s="63" t="s">
        <v>214</v>
      </c>
      <c r="L26" s="63" t="s">
        <v>242</v>
      </c>
    </row>
    <row r="27" spans="1:12" s="5" customFormat="1" ht="13.8" thickBot="1" x14ac:dyDescent="0.25">
      <c r="A27" s="21" t="s">
        <v>23</v>
      </c>
      <c r="B27" s="29">
        <v>1.81</v>
      </c>
      <c r="C27" s="29">
        <v>1.8</v>
      </c>
      <c r="E27" s="30">
        <f>B27*factor98</f>
        <v>2.6325910596026492</v>
      </c>
      <c r="F27" s="30">
        <f t="shared" si="1"/>
        <v>2.6180463576158939</v>
      </c>
      <c r="J27" s="64" t="s">
        <v>185</v>
      </c>
      <c r="K27" s="65" t="s">
        <v>240</v>
      </c>
      <c r="L27" s="65" t="s">
        <v>207</v>
      </c>
    </row>
    <row r="28" spans="1:12" s="5" customFormat="1" x14ac:dyDescent="0.2">
      <c r="A28" s="1"/>
      <c r="B28" s="1"/>
    </row>
    <row r="29" spans="1:12" s="5" customFormat="1" x14ac:dyDescent="0.2">
      <c r="A29" s="6" t="s">
        <v>51</v>
      </c>
      <c r="B29" s="26">
        <v>5.8</v>
      </c>
      <c r="E29" s="26" t="e">
        <f>B29*index/#REF!</f>
        <v>#REF!</v>
      </c>
    </row>
    <row r="30" spans="1:12" s="5" customFormat="1" x14ac:dyDescent="0.2">
      <c r="A30" s="1"/>
      <c r="B30" s="1"/>
    </row>
    <row r="31" spans="1:12" s="5" customFormat="1" x14ac:dyDescent="0.2">
      <c r="A31" s="6" t="s">
        <v>26</v>
      </c>
    </row>
    <row r="32" spans="1:12" s="5" customFormat="1" x14ac:dyDescent="0.2">
      <c r="A32" s="6" t="s">
        <v>80</v>
      </c>
    </row>
    <row r="33" spans="1:5" s="5" customFormat="1" x14ac:dyDescent="0.2">
      <c r="A33" s="1" t="s">
        <v>88</v>
      </c>
      <c r="B33" s="20">
        <v>35401</v>
      </c>
      <c r="C33" s="23"/>
      <c r="E33" s="24" t="e">
        <f>E38*index/#REF!*dollar</f>
        <v>#REF!</v>
      </c>
    </row>
    <row r="34" spans="1:5" s="5" customFormat="1" x14ac:dyDescent="0.2">
      <c r="A34" s="1" t="s">
        <v>87</v>
      </c>
      <c r="B34" s="20">
        <v>479801</v>
      </c>
      <c r="E34" s="24" t="e">
        <f>E39*index/#REF!*dollar</f>
        <v>#REF!</v>
      </c>
    </row>
    <row r="35" spans="1:5" s="5" customFormat="1" x14ac:dyDescent="0.2">
      <c r="A35" s="1"/>
      <c r="B35" s="20"/>
      <c r="E35" s="25"/>
    </row>
    <row r="36" spans="1:5" s="5" customFormat="1" x14ac:dyDescent="0.2">
      <c r="A36" s="6" t="s">
        <v>89</v>
      </c>
      <c r="B36" s="1"/>
    </row>
    <row r="37" spans="1:5" s="5" customFormat="1" ht="20.399999999999999" x14ac:dyDescent="0.2">
      <c r="A37" s="14" t="s">
        <v>27</v>
      </c>
      <c r="B37" s="14" t="s">
        <v>28</v>
      </c>
      <c r="C37" s="14" t="s">
        <v>29</v>
      </c>
      <c r="D37" s="14" t="s">
        <v>30</v>
      </c>
      <c r="E37" s="14" t="s">
        <v>31</v>
      </c>
    </row>
    <row r="38" spans="1:5" s="5" customFormat="1" x14ac:dyDescent="0.2">
      <c r="A38" s="15" t="s">
        <v>32</v>
      </c>
      <c r="B38" s="22">
        <v>34000</v>
      </c>
      <c r="C38" s="22">
        <v>2000</v>
      </c>
      <c r="D38" s="22">
        <v>2500</v>
      </c>
      <c r="E38" s="22">
        <f>SUM(B38:D38)</f>
        <v>38500</v>
      </c>
    </row>
    <row r="39" spans="1:5" s="5" customFormat="1" x14ac:dyDescent="0.2">
      <c r="A39" s="15" t="s">
        <v>33</v>
      </c>
      <c r="B39" s="22">
        <v>482000</v>
      </c>
      <c r="C39" s="22">
        <v>27600</v>
      </c>
      <c r="D39" s="22">
        <v>12200</v>
      </c>
      <c r="E39" s="22">
        <f>SUM(B39:D39)</f>
        <v>521800</v>
      </c>
    </row>
  </sheetData>
  <phoneticPr fontId="7" type="noConversion"/>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
  <dimension ref="A1:AG33"/>
  <sheetViews>
    <sheetView workbookViewId="0">
      <selection activeCell="G17" sqref="G17"/>
    </sheetView>
  </sheetViews>
  <sheetFormatPr defaultColWidth="9.28515625" defaultRowHeight="14.4" x14ac:dyDescent="0.3"/>
  <cols>
    <col min="1" max="1" width="16" style="39" customWidth="1"/>
    <col min="2" max="3" width="9.28515625" style="39"/>
    <col min="4" max="4" width="11.7109375" style="39" bestFit="1" customWidth="1"/>
    <col min="5" max="6" width="9.28515625" style="39"/>
    <col min="7" max="8" width="15.85546875" style="39" customWidth="1"/>
    <col min="9" max="9" width="15.7109375" style="39" customWidth="1"/>
    <col min="10" max="14" width="10.42578125" style="39" customWidth="1"/>
    <col min="15" max="17" width="9.28515625" style="39"/>
    <col min="18" max="18" width="17.42578125" style="39" customWidth="1"/>
    <col min="19" max="23" width="14.7109375" style="39" customWidth="1"/>
    <col min="24" max="26" width="9.28515625" style="39"/>
    <col min="27" max="32" width="12.7109375" style="39" customWidth="1"/>
    <col min="33" max="16384" width="9.28515625" style="39"/>
  </cols>
  <sheetData>
    <row r="1" spans="1:33" x14ac:dyDescent="0.3">
      <c r="A1" s="523" t="s">
        <v>877</v>
      </c>
      <c r="B1" s="524"/>
      <c r="R1" s="237" t="s">
        <v>683</v>
      </c>
      <c r="T1" s="75">
        <v>4.4999999999999998E-2</v>
      </c>
      <c r="U1" s="68" t="s">
        <v>251</v>
      </c>
      <c r="AA1" s="237" t="s">
        <v>683</v>
      </c>
      <c r="AC1" s="75">
        <v>4.4999999999999998E-2</v>
      </c>
      <c r="AD1" s="68" t="s">
        <v>251</v>
      </c>
    </row>
    <row r="2" spans="1:33" x14ac:dyDescent="0.3">
      <c r="I2" s="39" t="s">
        <v>131</v>
      </c>
      <c r="J2" s="39">
        <v>0.77929999999999999</v>
      </c>
      <c r="R2" s="39" t="s">
        <v>131</v>
      </c>
      <c r="S2" s="12">
        <v>0.75361999999999996</v>
      </c>
      <c r="T2" s="237" t="s">
        <v>685</v>
      </c>
      <c r="AA2" s="39" t="s">
        <v>131</v>
      </c>
      <c r="AB2" s="12">
        <v>0.75361999999999996</v>
      </c>
      <c r="AC2" s="237" t="s">
        <v>685</v>
      </c>
    </row>
    <row r="3" spans="1:33" x14ac:dyDescent="0.3">
      <c r="R3" s="58" t="s">
        <v>168</v>
      </c>
      <c r="AA3" s="58" t="s">
        <v>168</v>
      </c>
    </row>
    <row r="4" spans="1:33" x14ac:dyDescent="0.3">
      <c r="A4" s="240" t="s">
        <v>689</v>
      </c>
      <c r="B4" s="241"/>
      <c r="C4" s="241"/>
      <c r="D4" s="241"/>
      <c r="E4" s="241"/>
      <c r="F4" s="241"/>
      <c r="H4" s="40"/>
      <c r="I4" s="40" t="s">
        <v>167</v>
      </c>
      <c r="J4" s="40"/>
      <c r="K4" s="40"/>
      <c r="L4" s="40"/>
      <c r="M4" s="40"/>
      <c r="N4" s="40"/>
      <c r="O4" s="40"/>
      <c r="Q4" s="40"/>
      <c r="R4" s="238" t="s">
        <v>684</v>
      </c>
      <c r="S4" s="40"/>
      <c r="T4" s="40"/>
      <c r="U4" s="40"/>
      <c r="V4" s="40"/>
      <c r="W4" s="40"/>
      <c r="X4" s="40"/>
      <c r="Z4" s="241"/>
      <c r="AA4" s="240" t="s">
        <v>684</v>
      </c>
      <c r="AB4" s="241"/>
      <c r="AC4" s="241"/>
      <c r="AD4" s="241"/>
      <c r="AE4" s="241"/>
      <c r="AF4" s="241"/>
      <c r="AG4" s="241"/>
    </row>
    <row r="5" spans="1:33" ht="15" thickBot="1" x14ac:dyDescent="0.35">
      <c r="A5" s="237" t="s">
        <v>688</v>
      </c>
      <c r="I5" s="39" t="s">
        <v>132</v>
      </c>
      <c r="R5" s="39" t="s">
        <v>132</v>
      </c>
      <c r="AA5" s="239" t="s">
        <v>686</v>
      </c>
    </row>
    <row r="6" spans="1:33" ht="29.25" customHeight="1" x14ac:dyDescent="0.3">
      <c r="A6" s="634" t="s">
        <v>133</v>
      </c>
      <c r="B6" s="636" t="s">
        <v>134</v>
      </c>
      <c r="C6" s="634" t="s">
        <v>135</v>
      </c>
      <c r="D6" s="634" t="s">
        <v>136</v>
      </c>
      <c r="E6" s="41" t="s">
        <v>137</v>
      </c>
      <c r="F6" s="41" t="s">
        <v>138</v>
      </c>
      <c r="I6" s="638" t="s">
        <v>133</v>
      </c>
      <c r="J6" s="638" t="s">
        <v>139</v>
      </c>
      <c r="K6" s="638" t="s">
        <v>140</v>
      </c>
      <c r="L6" s="638" t="s">
        <v>141</v>
      </c>
      <c r="M6" s="42" t="s">
        <v>142</v>
      </c>
      <c r="N6" s="42" t="s">
        <v>138</v>
      </c>
      <c r="R6" s="638" t="s">
        <v>133</v>
      </c>
      <c r="S6" s="638" t="s">
        <v>139</v>
      </c>
      <c r="T6" s="638" t="s">
        <v>140</v>
      </c>
      <c r="U6" s="638" t="s">
        <v>141</v>
      </c>
      <c r="V6" s="42" t="s">
        <v>142</v>
      </c>
      <c r="W6" s="42" t="s">
        <v>138</v>
      </c>
      <c r="AA6" s="638" t="s">
        <v>133</v>
      </c>
      <c r="AB6" s="638" t="s">
        <v>139</v>
      </c>
      <c r="AC6" s="638" t="s">
        <v>140</v>
      </c>
      <c r="AD6" s="638" t="s">
        <v>141</v>
      </c>
      <c r="AE6" s="42" t="s">
        <v>142</v>
      </c>
      <c r="AF6" s="42" t="s">
        <v>138</v>
      </c>
    </row>
    <row r="7" spans="1:33" ht="24.6" thickBot="1" x14ac:dyDescent="0.35">
      <c r="A7" s="635"/>
      <c r="B7" s="637"/>
      <c r="C7" s="635"/>
      <c r="D7" s="635"/>
      <c r="E7" s="43" t="s">
        <v>143</v>
      </c>
      <c r="F7" s="43" t="s">
        <v>143</v>
      </c>
      <c r="I7" s="638"/>
      <c r="J7" s="638"/>
      <c r="K7" s="638"/>
      <c r="L7" s="638"/>
      <c r="M7" s="42" t="s">
        <v>144</v>
      </c>
      <c r="N7" s="42" t="s">
        <v>145</v>
      </c>
      <c r="R7" s="638"/>
      <c r="S7" s="638"/>
      <c r="T7" s="638"/>
      <c r="U7" s="638"/>
      <c r="V7" s="42" t="s">
        <v>144</v>
      </c>
      <c r="W7" s="42" t="s">
        <v>145</v>
      </c>
      <c r="AA7" s="638"/>
      <c r="AB7" s="638"/>
      <c r="AC7" s="638"/>
      <c r="AD7" s="638"/>
      <c r="AE7" s="42" t="s">
        <v>687</v>
      </c>
      <c r="AF7" s="42" t="s">
        <v>687</v>
      </c>
    </row>
    <row r="8" spans="1:33" ht="15" thickBot="1" x14ac:dyDescent="0.35">
      <c r="A8" s="44" t="s">
        <v>146</v>
      </c>
      <c r="B8" s="45">
        <v>13.3</v>
      </c>
      <c r="C8" s="45">
        <v>4152</v>
      </c>
      <c r="D8" s="45">
        <v>7428</v>
      </c>
      <c r="E8" s="45">
        <v>4.18</v>
      </c>
      <c r="F8" s="45">
        <v>34.159999999999997</v>
      </c>
      <c r="I8" s="46" t="s">
        <v>146</v>
      </c>
      <c r="J8" s="47" t="s">
        <v>147</v>
      </c>
      <c r="K8" s="48">
        <f>C8*$J$2</f>
        <v>3235.6536000000001</v>
      </c>
      <c r="L8" s="48">
        <f>D8*$J$2</f>
        <v>5788.6404000000002</v>
      </c>
      <c r="M8" s="49">
        <f>E8*$J$2</f>
        <v>3.2574739999999998</v>
      </c>
      <c r="N8" s="49">
        <f>F8*$J$2</f>
        <v>26.620887999999997</v>
      </c>
      <c r="R8" s="46" t="s">
        <v>146</v>
      </c>
      <c r="S8" s="47">
        <f>B8*$S$2*(1+$T$1)</f>
        <v>10.47418757</v>
      </c>
      <c r="T8" s="57">
        <f>C8*$S$2*(1+$T$1)</f>
        <v>3269.8366007999994</v>
      </c>
      <c r="U8" s="57">
        <f>D8*$S$2*(1+$T$1)</f>
        <v>5849.7943811999994</v>
      </c>
      <c r="V8" s="76">
        <f>E8*$S$2*(1+$T$1)</f>
        <v>3.2918875219999992</v>
      </c>
      <c r="W8" s="76">
        <f>F8*$S$2*(1+$T$1)</f>
        <v>26.902123863999993</v>
      </c>
      <c r="AA8" s="46" t="s">
        <v>146</v>
      </c>
      <c r="AB8" s="243">
        <f>B8*(1+$AC$1/100)</f>
        <v>13.305985000000002</v>
      </c>
      <c r="AC8" s="244">
        <f>C8*(1+$AC$1/100)</f>
        <v>4153.8684000000003</v>
      </c>
      <c r="AD8" s="244">
        <f>D8*(1+$AC$1/100)</f>
        <v>7431.3426000000009</v>
      </c>
      <c r="AE8" s="242">
        <f>E8*(1+$AC$1/100)</f>
        <v>4.1818809999999997</v>
      </c>
      <c r="AF8" s="242">
        <f>F8*(1+$AC$1/100)</f>
        <v>34.175371999999996</v>
      </c>
    </row>
    <row r="9" spans="1:33" ht="15" thickBot="1" x14ac:dyDescent="0.35">
      <c r="A9" s="50" t="s">
        <v>148</v>
      </c>
      <c r="B9" s="51">
        <v>14.5</v>
      </c>
      <c r="C9" s="51">
        <v>4633</v>
      </c>
      <c r="D9" s="51">
        <v>9722</v>
      </c>
      <c r="E9" s="51">
        <v>4.5599999999999996</v>
      </c>
      <c r="F9" s="51">
        <v>36.799999999999997</v>
      </c>
      <c r="I9" s="52" t="s">
        <v>148</v>
      </c>
      <c r="J9" s="47" t="s">
        <v>149</v>
      </c>
      <c r="K9" s="48">
        <f t="shared" ref="K9:N17" si="0">C9*$J$2</f>
        <v>3610.4969000000001</v>
      </c>
      <c r="L9" s="48">
        <f t="shared" si="0"/>
        <v>7576.3545999999997</v>
      </c>
      <c r="M9" s="49">
        <f t="shared" si="0"/>
        <v>3.5536079999999997</v>
      </c>
      <c r="N9" s="49">
        <f t="shared" si="0"/>
        <v>28.678239999999999</v>
      </c>
      <c r="R9" s="52" t="s">
        <v>148</v>
      </c>
      <c r="S9" s="47">
        <f t="shared" ref="S9:S17" si="1">B9*$S$2*(1+$T$1)</f>
        <v>11.419227049999998</v>
      </c>
      <c r="T9" s="57">
        <f t="shared" ref="T9:T17" si="2">C9*$S$2*(1+$T$1)</f>
        <v>3648.6399256999998</v>
      </c>
      <c r="U9" s="57">
        <f t="shared" ref="U9:U17" si="3">D9*$S$2*(1+$T$1)</f>
        <v>7656.3948537999986</v>
      </c>
      <c r="V9" s="76">
        <f t="shared" ref="V9:V17" si="4">E9*$S$2*(1+$T$1)</f>
        <v>3.5911500239999992</v>
      </c>
      <c r="W9" s="76">
        <f t="shared" ref="W9:W17" si="5">F9*$S$2*(1+$T$1)</f>
        <v>28.981210719999993</v>
      </c>
      <c r="AA9" s="52" t="s">
        <v>148</v>
      </c>
      <c r="AB9" s="243">
        <f t="shared" ref="AB9:AB17" si="6">B9*(1+$AC$1/100)</f>
        <v>14.506525000000002</v>
      </c>
      <c r="AC9" s="244">
        <f t="shared" ref="AC9:AC17" si="7">C9*(1+$AC$1/100)</f>
        <v>4635.0848500000002</v>
      </c>
      <c r="AD9" s="244">
        <f t="shared" ref="AD9:AD17" si="8">D9*(1+$AC$1/100)</f>
        <v>9726.3749000000007</v>
      </c>
      <c r="AE9" s="242">
        <f t="shared" ref="AE9:AE17" si="9">E9*(1+$AC$1/100)</f>
        <v>4.5620519999999996</v>
      </c>
      <c r="AF9" s="242">
        <f t="shared" ref="AF9:AF17" si="10">F9*(1+$AC$1/100)</f>
        <v>36.816560000000003</v>
      </c>
    </row>
    <row r="10" spans="1:33" ht="15" thickBot="1" x14ac:dyDescent="0.35">
      <c r="A10" s="44" t="s">
        <v>150</v>
      </c>
      <c r="B10" s="45">
        <v>13.3</v>
      </c>
      <c r="C10" s="45">
        <v>4624</v>
      </c>
      <c r="D10" s="45">
        <v>6315</v>
      </c>
      <c r="E10" s="45">
        <v>5.36</v>
      </c>
      <c r="F10" s="45">
        <v>46.21</v>
      </c>
      <c r="I10" s="46" t="s">
        <v>150</v>
      </c>
      <c r="J10" s="47" t="s">
        <v>147</v>
      </c>
      <c r="K10" s="48">
        <f t="shared" si="0"/>
        <v>3603.4832000000001</v>
      </c>
      <c r="L10" s="48">
        <f t="shared" si="0"/>
        <v>4921.2794999999996</v>
      </c>
      <c r="M10" s="49">
        <f t="shared" si="0"/>
        <v>4.1770480000000001</v>
      </c>
      <c r="N10" s="49">
        <f t="shared" si="0"/>
        <v>36.011453000000003</v>
      </c>
      <c r="R10" s="46" t="s">
        <v>150</v>
      </c>
      <c r="S10" s="47">
        <f t="shared" si="1"/>
        <v>10.47418757</v>
      </c>
      <c r="T10" s="57">
        <f t="shared" si="2"/>
        <v>3641.5521295999997</v>
      </c>
      <c r="U10" s="57">
        <f t="shared" si="3"/>
        <v>4973.2702634999987</v>
      </c>
      <c r="V10" s="76">
        <f t="shared" si="4"/>
        <v>4.2211763439999999</v>
      </c>
      <c r="W10" s="76">
        <f t="shared" si="5"/>
        <v>36.391895308999999</v>
      </c>
      <c r="AA10" s="46" t="s">
        <v>150</v>
      </c>
      <c r="AB10" s="243">
        <f t="shared" si="6"/>
        <v>13.305985000000002</v>
      </c>
      <c r="AC10" s="244">
        <f t="shared" si="7"/>
        <v>4626.0808000000006</v>
      </c>
      <c r="AD10" s="244">
        <f t="shared" si="8"/>
        <v>6317.8417500000005</v>
      </c>
      <c r="AE10" s="242">
        <f t="shared" si="9"/>
        <v>5.3624120000000008</v>
      </c>
      <c r="AF10" s="242">
        <f t="shared" si="10"/>
        <v>46.230794500000002</v>
      </c>
    </row>
    <row r="11" spans="1:33" ht="15" thickBot="1" x14ac:dyDescent="0.35">
      <c r="A11" s="50" t="s">
        <v>151</v>
      </c>
      <c r="B11" s="51">
        <v>48.6</v>
      </c>
      <c r="C11" s="51">
        <v>11220</v>
      </c>
      <c r="D11" s="51">
        <v>64616</v>
      </c>
      <c r="E11" s="51">
        <v>4.59</v>
      </c>
      <c r="F11" s="51">
        <v>27.33</v>
      </c>
      <c r="I11" s="52" t="s">
        <v>151</v>
      </c>
      <c r="J11" s="47" t="s">
        <v>152</v>
      </c>
      <c r="K11" s="48">
        <f t="shared" si="0"/>
        <v>8743.7459999999992</v>
      </c>
      <c r="L11" s="48">
        <f t="shared" si="0"/>
        <v>50355.248800000001</v>
      </c>
      <c r="M11" s="49">
        <f t="shared" si="0"/>
        <v>3.5769869999999999</v>
      </c>
      <c r="N11" s="49">
        <f t="shared" si="0"/>
        <v>21.298268999999998</v>
      </c>
      <c r="R11" s="52" t="s">
        <v>151</v>
      </c>
      <c r="S11" s="47">
        <f t="shared" si="1"/>
        <v>38.274098939999995</v>
      </c>
      <c r="T11" s="57">
        <f t="shared" si="2"/>
        <v>8836.1191379999982</v>
      </c>
      <c r="U11" s="57">
        <f t="shared" si="3"/>
        <v>50887.225866399996</v>
      </c>
      <c r="V11" s="76">
        <f t="shared" si="4"/>
        <v>3.6147760109999996</v>
      </c>
      <c r="W11" s="76">
        <f t="shared" si="5"/>
        <v>21.523274156999996</v>
      </c>
      <c r="AA11" s="52" t="s">
        <v>151</v>
      </c>
      <c r="AB11" s="243">
        <f t="shared" si="6"/>
        <v>48.621870000000001</v>
      </c>
      <c r="AC11" s="244">
        <f t="shared" si="7"/>
        <v>11225.049000000001</v>
      </c>
      <c r="AD11" s="244">
        <f t="shared" si="8"/>
        <v>64645.077200000007</v>
      </c>
      <c r="AE11" s="242">
        <f t="shared" si="9"/>
        <v>4.5920655000000004</v>
      </c>
      <c r="AF11" s="242">
        <f t="shared" si="10"/>
        <v>27.342298499999998</v>
      </c>
    </row>
    <row r="12" spans="1:33" ht="15" thickBot="1" x14ac:dyDescent="0.35">
      <c r="A12" s="44" t="s">
        <v>153</v>
      </c>
      <c r="B12" s="45">
        <v>33.799999999999997</v>
      </c>
      <c r="C12" s="45">
        <v>8800</v>
      </c>
      <c r="D12" s="45">
        <v>38455</v>
      </c>
      <c r="E12" s="45">
        <v>4.24</v>
      </c>
      <c r="F12" s="45">
        <v>26.93</v>
      </c>
      <c r="I12" s="46" t="s">
        <v>153</v>
      </c>
      <c r="J12" s="47" t="s">
        <v>154</v>
      </c>
      <c r="K12" s="48">
        <f t="shared" si="0"/>
        <v>6857.84</v>
      </c>
      <c r="L12" s="48">
        <f t="shared" si="0"/>
        <v>29967.981499999998</v>
      </c>
      <c r="M12" s="49">
        <f t="shared" si="0"/>
        <v>3.3042320000000003</v>
      </c>
      <c r="N12" s="49">
        <f t="shared" si="0"/>
        <v>20.986549</v>
      </c>
      <c r="R12" s="46" t="s">
        <v>153</v>
      </c>
      <c r="S12" s="47">
        <f t="shared" si="1"/>
        <v>26.618612019999997</v>
      </c>
      <c r="T12" s="57">
        <f t="shared" si="2"/>
        <v>6930.2895199999994</v>
      </c>
      <c r="U12" s="57">
        <f t="shared" si="3"/>
        <v>30284.577669499999</v>
      </c>
      <c r="V12" s="76">
        <f t="shared" si="4"/>
        <v>3.339139496</v>
      </c>
      <c r="W12" s="76">
        <f t="shared" si="5"/>
        <v>21.208260996999996</v>
      </c>
      <c r="AA12" s="46" t="s">
        <v>153</v>
      </c>
      <c r="AB12" s="243">
        <f t="shared" si="6"/>
        <v>33.81521</v>
      </c>
      <c r="AC12" s="244">
        <f t="shared" si="7"/>
        <v>8803.9600000000009</v>
      </c>
      <c r="AD12" s="244">
        <f t="shared" si="8"/>
        <v>38472.304750000003</v>
      </c>
      <c r="AE12" s="242">
        <f t="shared" si="9"/>
        <v>4.2419080000000005</v>
      </c>
      <c r="AF12" s="242">
        <f t="shared" si="10"/>
        <v>26.942118500000003</v>
      </c>
    </row>
    <row r="13" spans="1:33" ht="15" thickBot="1" x14ac:dyDescent="0.35">
      <c r="A13" s="50" t="s">
        <v>155</v>
      </c>
      <c r="B13" s="51">
        <v>43.1</v>
      </c>
      <c r="C13" s="51">
        <v>13975</v>
      </c>
      <c r="D13" s="51">
        <v>86616</v>
      </c>
      <c r="E13" s="51">
        <v>4.33</v>
      </c>
      <c r="F13" s="51">
        <v>30.93</v>
      </c>
      <c r="I13" s="52" t="s">
        <v>155</v>
      </c>
      <c r="J13" s="47" t="s">
        <v>156</v>
      </c>
      <c r="K13" s="48">
        <f t="shared" si="0"/>
        <v>10890.717500000001</v>
      </c>
      <c r="L13" s="48">
        <f t="shared" si="0"/>
        <v>67499.848799999992</v>
      </c>
      <c r="M13" s="49">
        <f t="shared" si="0"/>
        <v>3.3743690000000002</v>
      </c>
      <c r="N13" s="49">
        <f t="shared" si="0"/>
        <v>24.103749000000001</v>
      </c>
      <c r="R13" s="52" t="s">
        <v>155</v>
      </c>
      <c r="S13" s="47">
        <f t="shared" si="1"/>
        <v>33.942667989999997</v>
      </c>
      <c r="T13" s="57">
        <f t="shared" si="2"/>
        <v>11005.7722775</v>
      </c>
      <c r="U13" s="57">
        <f t="shared" si="3"/>
        <v>68212.949666399989</v>
      </c>
      <c r="V13" s="76">
        <f t="shared" si="4"/>
        <v>3.4100174569999995</v>
      </c>
      <c r="W13" s="76">
        <f t="shared" si="5"/>
        <v>24.358392596999995</v>
      </c>
      <c r="AA13" s="52" t="s">
        <v>155</v>
      </c>
      <c r="AB13" s="243">
        <f t="shared" si="6"/>
        <v>43.119395000000004</v>
      </c>
      <c r="AC13" s="244">
        <f t="shared" si="7"/>
        <v>13981.288750000002</v>
      </c>
      <c r="AD13" s="244">
        <f t="shared" si="8"/>
        <v>86654.977200000008</v>
      </c>
      <c r="AE13" s="242">
        <f t="shared" si="9"/>
        <v>4.3319485000000002</v>
      </c>
      <c r="AF13" s="242">
        <f t="shared" si="10"/>
        <v>30.943918500000002</v>
      </c>
    </row>
    <row r="14" spans="1:33" ht="15" thickBot="1" x14ac:dyDescent="0.35">
      <c r="A14" s="44" t="s">
        <v>157</v>
      </c>
      <c r="B14" s="45">
        <v>48.5</v>
      </c>
      <c r="C14" s="45">
        <v>11824</v>
      </c>
      <c r="D14" s="45">
        <v>88705</v>
      </c>
      <c r="E14" s="45">
        <v>5.73</v>
      </c>
      <c r="F14" s="45">
        <v>32.46</v>
      </c>
      <c r="I14" s="46" t="s">
        <v>157</v>
      </c>
      <c r="J14" s="47" t="s">
        <v>158</v>
      </c>
      <c r="K14" s="48">
        <f t="shared" si="0"/>
        <v>9214.4431999999997</v>
      </c>
      <c r="L14" s="48">
        <f t="shared" si="0"/>
        <v>69127.806500000006</v>
      </c>
      <c r="M14" s="49">
        <f t="shared" si="0"/>
        <v>4.4653890000000001</v>
      </c>
      <c r="N14" s="49">
        <f t="shared" si="0"/>
        <v>25.296078000000001</v>
      </c>
      <c r="R14" s="46" t="s">
        <v>157</v>
      </c>
      <c r="S14" s="47">
        <f t="shared" si="1"/>
        <v>38.19534565</v>
      </c>
      <c r="T14" s="57">
        <f t="shared" si="2"/>
        <v>9311.7890095999992</v>
      </c>
      <c r="U14" s="57">
        <f t="shared" si="3"/>
        <v>69858.105894499997</v>
      </c>
      <c r="V14" s="76">
        <f t="shared" si="4"/>
        <v>4.5125635170000002</v>
      </c>
      <c r="W14" s="76">
        <f t="shared" si="5"/>
        <v>25.563317933999997</v>
      </c>
      <c r="AA14" s="46" t="s">
        <v>157</v>
      </c>
      <c r="AB14" s="243">
        <f t="shared" si="6"/>
        <v>48.521825</v>
      </c>
      <c r="AC14" s="244">
        <f t="shared" si="7"/>
        <v>11829.320800000001</v>
      </c>
      <c r="AD14" s="244">
        <f t="shared" si="8"/>
        <v>88744.917249999999</v>
      </c>
      <c r="AE14" s="242">
        <f t="shared" si="9"/>
        <v>5.7325785000000007</v>
      </c>
      <c r="AF14" s="242">
        <f t="shared" si="10"/>
        <v>32.474607000000006</v>
      </c>
    </row>
    <row r="15" spans="1:33" ht="15" thickBot="1" x14ac:dyDescent="0.35">
      <c r="A15" s="50" t="s">
        <v>159</v>
      </c>
      <c r="B15" s="51">
        <v>33.799999999999997</v>
      </c>
      <c r="C15" s="51">
        <v>8002</v>
      </c>
      <c r="D15" s="51">
        <v>51887</v>
      </c>
      <c r="E15" s="51">
        <v>4.78</v>
      </c>
      <c r="F15" s="51">
        <v>25.68</v>
      </c>
      <c r="I15" s="52" t="s">
        <v>159</v>
      </c>
      <c r="J15" s="47" t="s">
        <v>154</v>
      </c>
      <c r="K15" s="48">
        <f t="shared" si="0"/>
        <v>6235.9585999999999</v>
      </c>
      <c r="L15" s="48">
        <f t="shared" si="0"/>
        <v>40435.539100000002</v>
      </c>
      <c r="M15" s="49">
        <f t="shared" si="0"/>
        <v>3.7250540000000001</v>
      </c>
      <c r="N15" s="49">
        <f t="shared" si="0"/>
        <v>20.012423999999999</v>
      </c>
      <c r="R15" s="52" t="s">
        <v>159</v>
      </c>
      <c r="S15" s="47">
        <f t="shared" si="1"/>
        <v>26.618612019999997</v>
      </c>
      <c r="T15" s="57">
        <f t="shared" si="2"/>
        <v>6301.8382657999991</v>
      </c>
      <c r="U15" s="57">
        <f t="shared" si="3"/>
        <v>40862.7195823</v>
      </c>
      <c r="V15" s="76">
        <f t="shared" si="4"/>
        <v>3.7644072619999998</v>
      </c>
      <c r="W15" s="76">
        <f t="shared" si="5"/>
        <v>20.223844872000001</v>
      </c>
      <c r="AA15" s="52" t="s">
        <v>159</v>
      </c>
      <c r="AB15" s="243">
        <f t="shared" si="6"/>
        <v>33.81521</v>
      </c>
      <c r="AC15" s="244">
        <f t="shared" si="7"/>
        <v>8005.6009000000004</v>
      </c>
      <c r="AD15" s="244">
        <f t="shared" si="8"/>
        <v>51910.349150000002</v>
      </c>
      <c r="AE15" s="242">
        <f t="shared" si="9"/>
        <v>4.7821510000000007</v>
      </c>
      <c r="AF15" s="242">
        <f t="shared" si="10"/>
        <v>25.691556000000002</v>
      </c>
    </row>
    <row r="16" spans="1:33" ht="15" thickBot="1" x14ac:dyDescent="0.35">
      <c r="A16" s="44" t="s">
        <v>160</v>
      </c>
      <c r="B16" s="45">
        <v>61.7</v>
      </c>
      <c r="C16" s="45">
        <v>18837</v>
      </c>
      <c r="D16" s="45">
        <v>181920</v>
      </c>
      <c r="E16" s="45">
        <v>5.0199999999999996</v>
      </c>
      <c r="F16" s="45">
        <v>40.03</v>
      </c>
      <c r="I16" s="46" t="s">
        <v>160</v>
      </c>
      <c r="J16" s="47" t="s">
        <v>161</v>
      </c>
      <c r="K16" s="48">
        <f t="shared" si="0"/>
        <v>14679.6741</v>
      </c>
      <c r="L16" s="48">
        <f t="shared" si="0"/>
        <v>141770.25599999999</v>
      </c>
      <c r="M16" s="49">
        <f t="shared" si="0"/>
        <v>3.9120859999999995</v>
      </c>
      <c r="N16" s="49">
        <f t="shared" si="0"/>
        <v>31.195378999999999</v>
      </c>
      <c r="R16" s="46" t="s">
        <v>160</v>
      </c>
      <c r="S16" s="47">
        <f t="shared" si="1"/>
        <v>48.590779929999997</v>
      </c>
      <c r="T16" s="57">
        <f t="shared" si="2"/>
        <v>14834.757237299997</v>
      </c>
      <c r="U16" s="57">
        <f t="shared" si="3"/>
        <v>143267.98516799996</v>
      </c>
      <c r="V16" s="76">
        <f t="shared" si="4"/>
        <v>3.953415157999999</v>
      </c>
      <c r="W16" s="76">
        <f t="shared" si="5"/>
        <v>31.524941986999995</v>
      </c>
      <c r="AA16" s="46" t="s">
        <v>160</v>
      </c>
      <c r="AB16" s="243">
        <f t="shared" si="6"/>
        <v>61.727765000000005</v>
      </c>
      <c r="AC16" s="244">
        <f t="shared" si="7"/>
        <v>18845.476650000001</v>
      </c>
      <c r="AD16" s="244">
        <f t="shared" si="8"/>
        <v>182001.864</v>
      </c>
      <c r="AE16" s="242">
        <f t="shared" si="9"/>
        <v>5.022259</v>
      </c>
      <c r="AF16" s="242">
        <f t="shared" si="10"/>
        <v>40.048013500000003</v>
      </c>
    </row>
    <row r="17" spans="1:33" ht="15" thickBot="1" x14ac:dyDescent="0.35">
      <c r="A17" s="50" t="s">
        <v>162</v>
      </c>
      <c r="B17" s="51">
        <v>8.8000000000000007</v>
      </c>
      <c r="C17" s="51">
        <v>3437</v>
      </c>
      <c r="D17" s="51">
        <v>5462</v>
      </c>
      <c r="E17" s="51">
        <v>6.05</v>
      </c>
      <c r="F17" s="51">
        <v>46.9</v>
      </c>
      <c r="I17" s="52" t="s">
        <v>162</v>
      </c>
      <c r="J17" s="47" t="s">
        <v>163</v>
      </c>
      <c r="K17" s="48">
        <f t="shared" si="0"/>
        <v>2678.4540999999999</v>
      </c>
      <c r="L17" s="48">
        <f t="shared" si="0"/>
        <v>4256.5366000000004</v>
      </c>
      <c r="M17" s="49">
        <f t="shared" si="0"/>
        <v>4.7147649999999999</v>
      </c>
      <c r="N17" s="49">
        <f t="shared" si="0"/>
        <v>36.549169999999997</v>
      </c>
      <c r="R17" s="52" t="s">
        <v>162</v>
      </c>
      <c r="S17" s="47">
        <f t="shared" si="1"/>
        <v>6.9302895199999996</v>
      </c>
      <c r="T17" s="57">
        <f t="shared" si="2"/>
        <v>2706.7505772999993</v>
      </c>
      <c r="U17" s="57">
        <f t="shared" si="3"/>
        <v>4301.5046997999998</v>
      </c>
      <c r="V17" s="76">
        <f t="shared" si="4"/>
        <v>4.7645740449999989</v>
      </c>
      <c r="W17" s="76">
        <f t="shared" si="5"/>
        <v>36.935293009999995</v>
      </c>
      <c r="AA17" s="52" t="s">
        <v>162</v>
      </c>
      <c r="AB17" s="243">
        <f t="shared" si="6"/>
        <v>8.8039600000000018</v>
      </c>
      <c r="AC17" s="244">
        <f t="shared" si="7"/>
        <v>3438.5466500000002</v>
      </c>
      <c r="AD17" s="244">
        <f t="shared" si="8"/>
        <v>5464.4579000000003</v>
      </c>
      <c r="AE17" s="242">
        <f t="shared" si="9"/>
        <v>6.0527224999999998</v>
      </c>
      <c r="AF17" s="242">
        <f t="shared" si="10"/>
        <v>46.921105000000004</v>
      </c>
    </row>
    <row r="18" spans="1:33" s="53" customFormat="1" ht="17.25" customHeight="1" x14ac:dyDescent="0.2">
      <c r="I18" s="54" t="s">
        <v>164</v>
      </c>
      <c r="J18" s="55"/>
      <c r="K18" s="55"/>
      <c r="L18" s="55"/>
      <c r="M18" s="55"/>
      <c r="N18" s="55"/>
      <c r="R18" s="54" t="s">
        <v>164</v>
      </c>
      <c r="S18" s="55"/>
      <c r="T18" s="55"/>
      <c r="U18" s="55"/>
      <c r="V18" s="55"/>
      <c r="W18" s="55"/>
      <c r="AA18" s="54" t="s">
        <v>164</v>
      </c>
      <c r="AB18" s="55"/>
      <c r="AC18" s="55"/>
      <c r="AD18" s="55"/>
      <c r="AE18" s="55"/>
      <c r="AF18" s="55"/>
    </row>
    <row r="19" spans="1:33" s="53" customFormat="1" ht="17.25" customHeight="1" x14ac:dyDescent="0.2">
      <c r="I19" s="54" t="s">
        <v>165</v>
      </c>
      <c r="R19" s="54" t="s">
        <v>165</v>
      </c>
      <c r="AA19" s="54" t="s">
        <v>165</v>
      </c>
    </row>
    <row r="21" spans="1:33" x14ac:dyDescent="0.3">
      <c r="A21" s="241"/>
      <c r="B21" s="241"/>
      <c r="C21" s="241"/>
      <c r="D21" s="241"/>
      <c r="E21" s="241"/>
      <c r="F21" s="241"/>
      <c r="H21" s="40"/>
      <c r="I21" s="40"/>
      <c r="J21" s="40"/>
      <c r="K21" s="40"/>
      <c r="L21" s="40"/>
      <c r="M21" s="40"/>
      <c r="N21" s="40"/>
      <c r="O21" s="40"/>
      <c r="Q21" s="40"/>
      <c r="R21" s="40"/>
      <c r="S21" s="40"/>
      <c r="T21" s="40"/>
      <c r="U21" s="40"/>
      <c r="V21" s="40"/>
      <c r="W21" s="40"/>
      <c r="X21" s="40"/>
      <c r="Z21" s="241"/>
      <c r="AA21" s="241"/>
      <c r="AB21" s="241"/>
      <c r="AC21" s="241"/>
      <c r="AD21" s="241"/>
      <c r="AE21" s="241"/>
      <c r="AF21" s="241"/>
      <c r="AG21" s="241"/>
    </row>
    <row r="23" spans="1:33" x14ac:dyDescent="0.3">
      <c r="T23" s="39">
        <f>S8*(1+0.045)</f>
        <v>10.945526010649999</v>
      </c>
    </row>
    <row r="26" spans="1:33" x14ac:dyDescent="0.3">
      <c r="A26" s="39" t="s">
        <v>111</v>
      </c>
      <c r="Z26" s="237"/>
      <c r="AA26" s="39">
        <f>275.5/657.8</f>
        <v>0.41882031012465798</v>
      </c>
    </row>
    <row r="27" spans="1:33" x14ac:dyDescent="0.3">
      <c r="A27" s="56" t="s">
        <v>166</v>
      </c>
    </row>
    <row r="30" spans="1:33" ht="15" customHeight="1" x14ac:dyDescent="0.3"/>
    <row r="32" spans="1:33" ht="15" customHeight="1" x14ac:dyDescent="0.3"/>
    <row r="33" ht="15.75" customHeight="1" x14ac:dyDescent="0.3"/>
  </sheetData>
  <mergeCells count="16">
    <mergeCell ref="AA6:AA7"/>
    <mergeCell ref="AB6:AB7"/>
    <mergeCell ref="AC6:AC7"/>
    <mergeCell ref="AD6:AD7"/>
    <mergeCell ref="T6:T7"/>
    <mergeCell ref="U6:U7"/>
    <mergeCell ref="J6:J7"/>
    <mergeCell ref="K6:K7"/>
    <mergeCell ref="L6:L7"/>
    <mergeCell ref="R6:R7"/>
    <mergeCell ref="S6:S7"/>
    <mergeCell ref="A6:A7"/>
    <mergeCell ref="B6:B7"/>
    <mergeCell ref="C6:C7"/>
    <mergeCell ref="D6:D7"/>
    <mergeCell ref="I6:I7"/>
  </mergeCells>
  <hyperlinks>
    <hyperlink ref="B6" location="_ftn1" display="_ftn1" xr:uid="{00000000-0004-0000-0C00-000000000000}"/>
    <hyperlink ref="A27" r:id="rId1" xr:uid="{00000000-0004-0000-0C00-000001000000}"/>
    <hyperlink ref="U1" r:id="rId2" xr:uid="{00000000-0004-0000-0C00-000002000000}"/>
    <hyperlink ref="AD1" r:id="rId3" xr:uid="{00000000-0004-0000-0C00-000003000000}"/>
  </hyperlinks>
  <pageMargins left="0.7" right="0.7" top="0.75" bottom="0.75" header="0.3" footer="0.3"/>
  <pageSetup paperSize="9" orientation="portrait" r:id="rId4"/>
  <drawing r:id="rId5"/>
  <legacyDrawing r:id="rId6"/>
  <controls>
    <mc:AlternateContent xmlns:mc="http://schemas.openxmlformats.org/markup-compatibility/2006">
      <mc:Choice Requires="x14">
        <control shapeId="7199" r:id="rId7" name="Control 31">
          <controlPr defaultSize="0" r:id="rId8">
            <anchor moveWithCells="1">
              <from>
                <xdr:col>18</xdr:col>
                <xdr:colOff>0</xdr:colOff>
                <xdr:row>28</xdr:row>
                <xdr:rowOff>22860</xdr:rowOff>
              </from>
              <to>
                <xdr:col>18</xdr:col>
                <xdr:colOff>769620</xdr:colOff>
                <xdr:row>29</xdr:row>
                <xdr:rowOff>68580</xdr:rowOff>
              </to>
            </anchor>
          </controlPr>
        </control>
      </mc:Choice>
      <mc:Fallback>
        <control shapeId="7199" r:id="rId7" name="Control 31"/>
      </mc:Fallback>
    </mc:AlternateContent>
    <mc:AlternateContent xmlns:mc="http://schemas.openxmlformats.org/markup-compatibility/2006">
      <mc:Choice Requires="x14">
        <control shapeId="7200" r:id="rId9" name="Control 32">
          <controlPr defaultSize="0" r:id="rId10">
            <anchor moveWithCells="1">
              <from>
                <xdr:col>18</xdr:col>
                <xdr:colOff>0</xdr:colOff>
                <xdr:row>29</xdr:row>
                <xdr:rowOff>22860</xdr:rowOff>
              </from>
              <to>
                <xdr:col>18</xdr:col>
                <xdr:colOff>769620</xdr:colOff>
                <xdr:row>30</xdr:row>
                <xdr:rowOff>60960</xdr:rowOff>
              </to>
            </anchor>
          </controlPr>
        </control>
      </mc:Choice>
      <mc:Fallback>
        <control shapeId="7200" r:id="rId9" name="Control 32"/>
      </mc:Fallback>
    </mc:AlternateContent>
    <mc:AlternateContent xmlns:mc="http://schemas.openxmlformats.org/markup-compatibility/2006">
      <mc:Choice Requires="x14">
        <control shapeId="7201" r:id="rId11" name="Control 33">
          <controlPr defaultSize="0" r:id="rId12">
            <anchor moveWithCells="1">
              <from>
                <xdr:col>18</xdr:col>
                <xdr:colOff>0</xdr:colOff>
                <xdr:row>30</xdr:row>
                <xdr:rowOff>22860</xdr:rowOff>
              </from>
              <to>
                <xdr:col>18</xdr:col>
                <xdr:colOff>769620</xdr:colOff>
                <xdr:row>31</xdr:row>
                <xdr:rowOff>68580</xdr:rowOff>
              </to>
            </anchor>
          </controlPr>
        </control>
      </mc:Choice>
      <mc:Fallback>
        <control shapeId="7201" r:id="rId11" name="Control 33"/>
      </mc:Fallback>
    </mc:AlternateContent>
    <mc:AlternateContent xmlns:mc="http://schemas.openxmlformats.org/markup-compatibility/2006">
      <mc:Choice Requires="x14">
        <control shapeId="7202" r:id="rId13" name="Control 34">
          <controlPr defaultSize="0" r:id="rId14">
            <anchor moveWithCells="1">
              <from>
                <xdr:col>18</xdr:col>
                <xdr:colOff>0</xdr:colOff>
                <xdr:row>31</xdr:row>
                <xdr:rowOff>22860</xdr:rowOff>
              </from>
              <to>
                <xdr:col>18</xdr:col>
                <xdr:colOff>769620</xdr:colOff>
                <xdr:row>32</xdr:row>
                <xdr:rowOff>60960</xdr:rowOff>
              </to>
            </anchor>
          </controlPr>
        </control>
      </mc:Choice>
      <mc:Fallback>
        <control shapeId="7202" r:id="rId13" name="Control 34"/>
      </mc:Fallback>
    </mc:AlternateContent>
  </controls>
</worksheet>
</file>

<file path=docMetadata/LabelInfo.xml><?xml version="1.0" encoding="utf-8"?>
<clbl:labelList xmlns:clbl="http://schemas.microsoft.com/office/2020/mipLabelMetadata">
  <clbl:label id="{fd60f3b8-f236-4830-aecc-da0a7fc54679}" enabled="1" method="Standard" siteId="{76f33c20-5979-4408-adf7-8b3c4be95e5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121</vt:i4>
      </vt:variant>
    </vt:vector>
  </HeadingPairs>
  <TitlesOfParts>
    <vt:vector size="134" baseType="lpstr">
      <vt:lpstr>basic assumptions</vt:lpstr>
      <vt:lpstr>Cancellation cost</vt:lpstr>
      <vt:lpstr>Cancellation_Diversion</vt:lpstr>
      <vt:lpstr>Cost of  Delay</vt:lpstr>
      <vt:lpstr>Passenger time value</vt:lpstr>
      <vt:lpstr>VSL</vt:lpstr>
      <vt:lpstr>Cost of noise</vt:lpstr>
      <vt:lpstr>cost of pollutant</vt:lpstr>
      <vt:lpstr>Average Pass Flight</vt:lpstr>
      <vt:lpstr>noise cost airports (not used)</vt:lpstr>
      <vt:lpstr>cost of fuel (not used)</vt:lpstr>
      <vt:lpstr>Injury (not used)</vt:lpstr>
      <vt:lpstr>Flight OPS costs (not used)</vt:lpstr>
      <vt:lpstr>_2006_to_current_year</vt:lpstr>
      <vt:lpstr>'noise cost airports (not used)'!_bookmark53</vt:lpstr>
      <vt:lpstr>'Flight OPS costs (not used)'!_ftn1</vt:lpstr>
      <vt:lpstr>'Flight OPS costs (not used)'!_ftnref1</vt:lpstr>
      <vt:lpstr>DE_factor06</vt:lpstr>
      <vt:lpstr>DE_factor07</vt:lpstr>
      <vt:lpstr>DE_factor08</vt:lpstr>
      <vt:lpstr>DE_factor09</vt:lpstr>
      <vt:lpstr>DE_factor10</vt:lpstr>
      <vt:lpstr>DE_factor11</vt:lpstr>
      <vt:lpstr>DE_factor12</vt:lpstr>
      <vt:lpstr>DE_factor13</vt:lpstr>
      <vt:lpstr>DE_factor14</vt:lpstr>
      <vt:lpstr>DE_factor15</vt:lpstr>
      <vt:lpstr>DE_factor16</vt:lpstr>
      <vt:lpstr>'basic assumptions'!dollar</vt:lpstr>
      <vt:lpstr>ExR_GBP_12</vt:lpstr>
      <vt:lpstr>ExR_GBP_13</vt:lpstr>
      <vt:lpstr>ExR_GBP_14</vt:lpstr>
      <vt:lpstr>ExR_GBP_17</vt:lpstr>
      <vt:lpstr>ExR_GBP_18</vt:lpstr>
      <vt:lpstr>ExR_GBP_19</vt:lpstr>
      <vt:lpstr>'basic assumptions'!factor</vt:lpstr>
      <vt:lpstr>factor00</vt:lpstr>
      <vt:lpstr>factor01</vt:lpstr>
      <vt:lpstr>factor02</vt:lpstr>
      <vt:lpstr>factor03</vt:lpstr>
      <vt:lpstr>factor04</vt:lpstr>
      <vt:lpstr>factor05</vt:lpstr>
      <vt:lpstr>factor06</vt:lpstr>
      <vt:lpstr>factor07</vt:lpstr>
      <vt:lpstr>factor08</vt:lpstr>
      <vt:lpstr>factor09</vt:lpstr>
      <vt:lpstr>factor10</vt:lpstr>
      <vt:lpstr>factor11</vt:lpstr>
      <vt:lpstr>factor12</vt:lpstr>
      <vt:lpstr>factor13</vt:lpstr>
      <vt:lpstr>factor14</vt:lpstr>
      <vt:lpstr>factor15</vt:lpstr>
      <vt:lpstr>factor16</vt:lpstr>
      <vt:lpstr>factor17</vt:lpstr>
      <vt:lpstr>factor18</vt:lpstr>
      <vt:lpstr>factor19</vt:lpstr>
      <vt:lpstr>factor2006</vt:lpstr>
      <vt:lpstr>factor96</vt:lpstr>
      <vt:lpstr>factor97</vt:lpstr>
      <vt:lpstr>factor98</vt:lpstr>
      <vt:lpstr>factor99</vt:lpstr>
      <vt:lpstr>FR_factor06</vt:lpstr>
      <vt:lpstr>FR_factor10</vt:lpstr>
      <vt:lpstr>FR_factor11</vt:lpstr>
      <vt:lpstr>FR_factor12</vt:lpstr>
      <vt:lpstr>FR_factor15</vt:lpstr>
      <vt:lpstr>FR_factor16</vt:lpstr>
      <vt:lpstr>FR_factor17</vt:lpstr>
      <vt:lpstr>FR_factor18</vt:lpstr>
      <vt:lpstr>FR_factor19</vt:lpstr>
      <vt:lpstr>'basic assumptions'!index</vt:lpstr>
      <vt:lpstr>'basic assumptions'!index2006</vt:lpstr>
      <vt:lpstr>indexDE</vt:lpstr>
      <vt:lpstr>indexFR</vt:lpstr>
      <vt:lpstr>indexIT</vt:lpstr>
      <vt:lpstr>indexNL</vt:lpstr>
      <vt:lpstr>indexSP</vt:lpstr>
      <vt:lpstr>indexUK</vt:lpstr>
      <vt:lpstr>indexUS</vt:lpstr>
      <vt:lpstr>IT_factor06</vt:lpstr>
      <vt:lpstr>IT_factor07</vt:lpstr>
      <vt:lpstr>IT_factor08</vt:lpstr>
      <vt:lpstr>IT_factor09</vt:lpstr>
      <vt:lpstr>IT_factor10</vt:lpstr>
      <vt:lpstr>IT_factor11</vt:lpstr>
      <vt:lpstr>IT_factor12</vt:lpstr>
      <vt:lpstr>IT_factor13</vt:lpstr>
      <vt:lpstr>IT_factor14</vt:lpstr>
      <vt:lpstr>IT_factor15</vt:lpstr>
      <vt:lpstr>IT_factor16</vt:lpstr>
      <vt:lpstr>'basic assumptions'!pound</vt:lpstr>
      <vt:lpstr>SP_factor06</vt:lpstr>
      <vt:lpstr>SP_factor07</vt:lpstr>
      <vt:lpstr>SP_factor08</vt:lpstr>
      <vt:lpstr>SP_factor09</vt:lpstr>
      <vt:lpstr>SP_factor10</vt:lpstr>
      <vt:lpstr>SP_factor11</vt:lpstr>
      <vt:lpstr>SP_factor12</vt:lpstr>
      <vt:lpstr>SP_factor13</vt:lpstr>
      <vt:lpstr>SP_factor14</vt:lpstr>
      <vt:lpstr>SP_factor15</vt:lpstr>
      <vt:lpstr>SP_factor16</vt:lpstr>
      <vt:lpstr>UK_factor06</vt:lpstr>
      <vt:lpstr>UK_factor07</vt:lpstr>
      <vt:lpstr>UK_factor08</vt:lpstr>
      <vt:lpstr>UK_factor09</vt:lpstr>
      <vt:lpstr>UK_factor10</vt:lpstr>
      <vt:lpstr>UK_factor11</vt:lpstr>
      <vt:lpstr>UK_factor12</vt:lpstr>
      <vt:lpstr>UK_factor13</vt:lpstr>
      <vt:lpstr>UK_factor14</vt:lpstr>
      <vt:lpstr>UK_factor15</vt:lpstr>
      <vt:lpstr>UK_factor16</vt:lpstr>
      <vt:lpstr>US_factor00</vt:lpstr>
      <vt:lpstr>US_factor01</vt:lpstr>
      <vt:lpstr>US_factor02</vt:lpstr>
      <vt:lpstr>US_factor03</vt:lpstr>
      <vt:lpstr>US_factor04</vt:lpstr>
      <vt:lpstr>US_factor05</vt:lpstr>
      <vt:lpstr>US_factor06</vt:lpstr>
      <vt:lpstr>US_factor07</vt:lpstr>
      <vt:lpstr>US_factor08</vt:lpstr>
      <vt:lpstr>US_factor09</vt:lpstr>
      <vt:lpstr>US_factor10</vt:lpstr>
      <vt:lpstr>US_factor11</vt:lpstr>
      <vt:lpstr>US_factor12</vt:lpstr>
      <vt:lpstr>US_factor13</vt:lpstr>
      <vt:lpstr>US_factor14</vt:lpstr>
      <vt:lpstr>US_factor15</vt:lpstr>
      <vt:lpstr>US_factor16</vt:lpstr>
      <vt:lpstr>US_factor96</vt:lpstr>
      <vt:lpstr>US_factor97</vt:lpstr>
      <vt:lpstr>US_factor98</vt:lpstr>
      <vt:lpstr>US_factor99</vt:lpstr>
    </vt:vector>
  </TitlesOfParts>
  <Company>Eurocontrol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BOOKER David (HBRUPX31R - bookerd)</dc:creator>
  <cp:lastModifiedBy>BURDASH Olga</cp:lastModifiedBy>
  <dcterms:created xsi:type="dcterms:W3CDTF">2008-12-04T15:30:09Z</dcterms:created>
  <dcterms:modified xsi:type="dcterms:W3CDTF">2026-08-21T09:11:43Z</dcterms:modified>
</cp:coreProperties>
</file>